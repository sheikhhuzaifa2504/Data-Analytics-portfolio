
<file path=[Content_Types].xml><?xml version="1.0" encoding="utf-8"?>
<Types xmlns="http://schemas.openxmlformats.org/package/2006/content-type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All Practice Proeject Files\Portfolios Of Excel\"/>
    </mc:Choice>
  </mc:AlternateContent>
  <xr:revisionPtr revIDLastSave="0" documentId="13_ncr:1_{ECAF540B-F926-46C9-AB0C-EA617EDF54B5}" xr6:coauthVersionLast="47" xr6:coauthVersionMax="47" xr10:uidLastSave="{00000000-0000-0000-0000-000000000000}"/>
  <bookViews>
    <workbookView xWindow="-120" yWindow="-120" windowWidth="24240" windowHeight="13020" firstSheet="3" activeTab="6" xr2:uid="{00000000-000D-0000-FFFF-FFFF00000000}"/>
  </bookViews>
  <sheets>
    <sheet name="Department Wise Employee Count" sheetId="2" r:id="rId1"/>
    <sheet name="Employee Turnover by Department" sheetId="3" r:id="rId2"/>
    <sheet name="Age Group Distribution" sheetId="4" r:id="rId3"/>
    <sheet name="Monthly Income By Department" sheetId="5" r:id="rId4"/>
    <sheet name="Performance Rating Distribution" sheetId="8" r:id="rId5"/>
    <sheet name="HR Data" sheetId="1" r:id="rId6"/>
    <sheet name="Workforce Analytics Dashboard" sheetId="9" r:id="rId7"/>
  </sheets>
  <definedNames>
    <definedName name="Slicer_Age_Group">#N/A</definedName>
    <definedName name="Slicer_Attrition">#N/A</definedName>
    <definedName name="Slicer_Departmen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alcChain>
</file>

<file path=xl/sharedStrings.xml><?xml version="1.0" encoding="utf-8"?>
<sst xmlns="http://schemas.openxmlformats.org/spreadsheetml/2006/main" count="261" uniqueCount="85">
  <si>
    <t>Employee ID</t>
  </si>
  <si>
    <t>Name</t>
  </si>
  <si>
    <t>Age</t>
  </si>
  <si>
    <t>Department</t>
  </si>
  <si>
    <t>Job Role</t>
  </si>
  <si>
    <t>Monthly Income</t>
  </si>
  <si>
    <t>Years at Company</t>
  </si>
  <si>
    <t>Performance Rating</t>
  </si>
  <si>
    <t>Attrition</t>
  </si>
  <si>
    <t>Ali Khan</t>
  </si>
  <si>
    <t>HR</t>
  </si>
  <si>
    <t>HR Executive</t>
  </si>
  <si>
    <t>Yes</t>
  </si>
  <si>
    <t>Ahmed Raza</t>
  </si>
  <si>
    <t>Finance</t>
  </si>
  <si>
    <t>Financial Analyst</t>
  </si>
  <si>
    <t>No</t>
  </si>
  <si>
    <t>Usman Tariq</t>
  </si>
  <si>
    <t>Hassan Ali</t>
  </si>
  <si>
    <t>Accountant</t>
  </si>
  <si>
    <t>Bilal Ahmed</t>
  </si>
  <si>
    <t>IT</t>
  </si>
  <si>
    <t>Data Analyst</t>
  </si>
  <si>
    <t>Zain Malik</t>
  </si>
  <si>
    <t>HR Manager</t>
  </si>
  <si>
    <t>Saad Qureshi</t>
  </si>
  <si>
    <t>Marketing</t>
  </si>
  <si>
    <t>Marketing Manager</t>
  </si>
  <si>
    <t>Hamza Sheikh</t>
  </si>
  <si>
    <t>Omar Farooq</t>
  </si>
  <si>
    <t>Talha Saeed</t>
  </si>
  <si>
    <t>Marketing Executive</t>
  </si>
  <si>
    <t>Abdullah Noor</t>
  </si>
  <si>
    <t>Danish Iqbal</t>
  </si>
  <si>
    <t>Fahad Hussain</t>
  </si>
  <si>
    <t>Imran Shah</t>
  </si>
  <si>
    <t>Sales</t>
  </si>
  <si>
    <t>Sales Executive</t>
  </si>
  <si>
    <t>Adeel Akram</t>
  </si>
  <si>
    <t>Kashif Mehmood</t>
  </si>
  <si>
    <t>Rizwan Haider</t>
  </si>
  <si>
    <t>Shahzaib Ali</t>
  </si>
  <si>
    <t>Yasir Khan</t>
  </si>
  <si>
    <t>Farhan Ali</t>
  </si>
  <si>
    <t>Mubashir Raza</t>
  </si>
  <si>
    <t>Noman Ilyas</t>
  </si>
  <si>
    <t>Software Developer</t>
  </si>
  <si>
    <t>Taha Ahmed</t>
  </si>
  <si>
    <t>Haris Javed</t>
  </si>
  <si>
    <t>Ibrahim Khalid</t>
  </si>
  <si>
    <t>Ahsan Rauf</t>
  </si>
  <si>
    <t>Waqar Ahmed</t>
  </si>
  <si>
    <t>Sami Ullah</t>
  </si>
  <si>
    <t>Zohaib Khan</t>
  </si>
  <si>
    <t>Adnan Tariq</t>
  </si>
  <si>
    <t>Rehan Malik</t>
  </si>
  <si>
    <t>Sales Manager</t>
  </si>
  <si>
    <t>Arslan Sheikh</t>
  </si>
  <si>
    <t>Junaid Akhtar</t>
  </si>
  <si>
    <t>Kamran Ali</t>
  </si>
  <si>
    <t>Sufyan Ahmed</t>
  </si>
  <si>
    <t>Shayan Raza</t>
  </si>
  <si>
    <t>Hammad Tariq</t>
  </si>
  <si>
    <t>Mudassir Ali</t>
  </si>
  <si>
    <t>Asad Mehmood</t>
  </si>
  <si>
    <t>Zubair Khan</t>
  </si>
  <si>
    <t>Salman Ahmed</t>
  </si>
  <si>
    <t>Basit Ali</t>
  </si>
  <si>
    <t>Shariq Hussain</t>
  </si>
  <si>
    <t>Shahid Raza</t>
  </si>
  <si>
    <t>Umair Khalid</t>
  </si>
  <si>
    <t>Naveed Ahmed</t>
  </si>
  <si>
    <t>Qasim Ali</t>
  </si>
  <si>
    <t>Shakir Hussain</t>
  </si>
  <si>
    <t>Waqas Ahmed</t>
  </si>
  <si>
    <t>Shoaib Malik</t>
  </si>
  <si>
    <t>Age Group</t>
  </si>
  <si>
    <t>Row Labels</t>
  </si>
  <si>
    <t>Grand Total</t>
  </si>
  <si>
    <t>Count of Employee ID</t>
  </si>
  <si>
    <t>Column Labels</t>
  </si>
  <si>
    <t>Average of Monthly Income</t>
  </si>
  <si>
    <t>Young</t>
  </si>
  <si>
    <t>Adult</t>
  </si>
  <si>
    <t>Senior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</si>
</sst>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0" fontId="0" fillId="0" borderId="0" xfId="0" applyNumberFormat="1"/>
  </cellXfs>
  <cellStyles count="1">
    <cellStyle name="Normal" xfId="0" builtinId="0"/>
  </cellStyles>
  <dxfs count="15">
    <dxf>
      <numFmt numFmtId="1" formatCode="0"/>
    </dxf>
    <dxf>
      <numFmt numFmtId="1" formatCode="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portfolio.xlsx]Department Wise Employee Count!PivotTable1</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800" b="0" i="0" u="none" strike="noStrike" cap="all" baseline="0"/>
              <a:t>Department WISE Employee Count </a:t>
            </a:r>
            <a:endParaRPr lang="en-US"/>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3.3333333333333284E-2"/>
              <c:y val="-5.5555555555555552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1666666666666567E-2"/>
              <c:y val="-4.6296296296296294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9999999999999899E-2"/>
              <c:y val="-3.7037037037037125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3.6111111111111108E-2"/>
              <c:y val="-3.7037037037037077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7222222222222221E-2"/>
              <c:y val="-3.7037037037037077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05"/>
          <c:y val="0.1850696267133275"/>
          <c:w val="0.77091863517060366"/>
          <c:h val="0.69827172645086033"/>
        </c:manualLayout>
      </c:layout>
      <c:bar3DChart>
        <c:barDir val="col"/>
        <c:grouping val="standard"/>
        <c:varyColors val="0"/>
        <c:ser>
          <c:idx val="0"/>
          <c:order val="0"/>
          <c:tx>
            <c:strRef>
              <c:f>'Department Wise Employee Count'!$B$3</c:f>
              <c:strCache>
                <c:ptCount val="1"/>
                <c:pt idx="0">
                  <c:v>Total</c:v>
                </c:pt>
              </c:strCache>
            </c:strRef>
          </c:tx>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Pt>
            <c:idx val="0"/>
            <c:invertIfNegative val="0"/>
            <c:bubble3D val="0"/>
            <c:extLst>
              <c:ext xmlns:c16="http://schemas.microsoft.com/office/drawing/2014/chart" uri="{C3380CC4-5D6E-409C-BE32-E72D297353CC}">
                <c16:uniqueId val="{00000006-FCD1-434F-9762-0AB8C408706C}"/>
              </c:ext>
            </c:extLst>
          </c:dPt>
          <c:dPt>
            <c:idx val="1"/>
            <c:invertIfNegative val="0"/>
            <c:bubble3D val="0"/>
            <c:extLst>
              <c:ext xmlns:c16="http://schemas.microsoft.com/office/drawing/2014/chart" uri="{C3380CC4-5D6E-409C-BE32-E72D297353CC}">
                <c16:uniqueId val="{00000005-FCD1-434F-9762-0AB8C408706C}"/>
              </c:ext>
            </c:extLst>
          </c:dPt>
          <c:dPt>
            <c:idx val="2"/>
            <c:invertIfNegative val="0"/>
            <c:bubble3D val="0"/>
            <c:extLst>
              <c:ext xmlns:c16="http://schemas.microsoft.com/office/drawing/2014/chart" uri="{C3380CC4-5D6E-409C-BE32-E72D297353CC}">
                <c16:uniqueId val="{00000002-FCD1-434F-9762-0AB8C408706C}"/>
              </c:ext>
            </c:extLst>
          </c:dPt>
          <c:dPt>
            <c:idx val="3"/>
            <c:invertIfNegative val="0"/>
            <c:bubble3D val="0"/>
            <c:extLst>
              <c:ext xmlns:c16="http://schemas.microsoft.com/office/drawing/2014/chart" uri="{C3380CC4-5D6E-409C-BE32-E72D297353CC}">
                <c16:uniqueId val="{00000003-FCD1-434F-9762-0AB8C408706C}"/>
              </c:ext>
            </c:extLst>
          </c:dPt>
          <c:dPt>
            <c:idx val="4"/>
            <c:invertIfNegative val="0"/>
            <c:bubble3D val="0"/>
            <c:extLst>
              <c:ext xmlns:c16="http://schemas.microsoft.com/office/drawing/2014/chart" uri="{C3380CC4-5D6E-409C-BE32-E72D297353CC}">
                <c16:uniqueId val="{00000004-FCD1-434F-9762-0AB8C408706C}"/>
              </c:ext>
            </c:extLst>
          </c:dPt>
          <c:dLbls>
            <c:dLbl>
              <c:idx val="0"/>
              <c:layout>
                <c:manualLayout>
                  <c:x val="4.7222222222222221E-2"/>
                  <c:y val="-3.7037037037037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CD1-434F-9762-0AB8C408706C}"/>
                </c:ext>
              </c:extLst>
            </c:dLbl>
            <c:dLbl>
              <c:idx val="1"/>
              <c:layout>
                <c:manualLayout>
                  <c:x val="3.6111111111111108E-2"/>
                  <c:y val="-3.7037037037037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CD1-434F-9762-0AB8C408706C}"/>
                </c:ext>
              </c:extLst>
            </c:dLbl>
            <c:dLbl>
              <c:idx val="2"/>
              <c:layout>
                <c:manualLayout>
                  <c:x val="3.3333333333333284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CD1-434F-9762-0AB8C408706C}"/>
                </c:ext>
              </c:extLst>
            </c:dLbl>
            <c:dLbl>
              <c:idx val="3"/>
              <c:layout>
                <c:manualLayout>
                  <c:x val="4.1666666666666567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D1-434F-9762-0AB8C408706C}"/>
                </c:ext>
              </c:extLst>
            </c:dLbl>
            <c:dLbl>
              <c:idx val="4"/>
              <c:layout>
                <c:manualLayout>
                  <c:x val="4.9999999999999899E-2"/>
                  <c:y val="-3.7037037037037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CD1-434F-9762-0AB8C408706C}"/>
                </c:ext>
              </c:extLst>
            </c:dLbl>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'Department Wise Employee Count'!$A$4:$A$9</c:f>
              <c:strCache>
                <c:ptCount val="5"/>
                <c:pt idx="0">
                  <c:v>Finance</c:v>
                </c:pt>
                <c:pt idx="1">
                  <c:v>HR</c:v>
                </c:pt>
                <c:pt idx="2">
                  <c:v>IT</c:v>
                </c:pt>
                <c:pt idx="3">
                  <c:v>Marketing</c:v>
                </c:pt>
                <c:pt idx="4">
                  <c:v>Sales</c:v>
                </c:pt>
              </c:strCache>
            </c:strRef>
          </c:cat>
          <c:val>
            <c:numRef>
              <c:f>'Department Wise Employee Count'!$B$4:$B$9</c:f>
              <c:numCache>
                <c:formatCode>General</c:formatCode>
                <c:ptCount val="5"/>
                <c:pt idx="0">
                  <c:v>15</c:v>
                </c:pt>
                <c:pt idx="1">
                  <c:v>13</c:v>
                </c:pt>
                <c:pt idx="2">
                  <c:v>6</c:v>
                </c:pt>
                <c:pt idx="3">
                  <c:v>9</c:v>
                </c:pt>
                <c:pt idx="4">
                  <c:v>7</c:v>
                </c:pt>
              </c:numCache>
            </c:numRef>
          </c:val>
          <c:extLst>
            <c:ext xmlns:c16="http://schemas.microsoft.com/office/drawing/2014/chart" uri="{C3380CC4-5D6E-409C-BE32-E72D297353CC}">
              <c16:uniqueId val="{00000000-FCD1-434F-9762-0AB8C408706C}"/>
            </c:ext>
          </c:extLst>
        </c:ser>
        <c:dLbls>
          <c:showLegendKey val="0"/>
          <c:showVal val="1"/>
          <c:showCatName val="0"/>
          <c:showSerName val="0"/>
          <c:showPercent val="0"/>
          <c:showBubbleSize val="0"/>
        </c:dLbls>
        <c:gapWidth val="84"/>
        <c:gapDepth val="53"/>
        <c:shape val="box"/>
        <c:axId val="842227712"/>
        <c:axId val="842220032"/>
        <c:axId val="601093568"/>
      </c:bar3DChart>
      <c:catAx>
        <c:axId val="842227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lt1">
                    <a:lumMod val="75000"/>
                  </a:schemeClr>
                </a:solidFill>
                <a:latin typeface="+mn-lt"/>
                <a:ea typeface="+mn-ea"/>
                <a:cs typeface="+mn-cs"/>
              </a:defRPr>
            </a:pPr>
            <a:endParaRPr lang="en-US"/>
          </a:p>
        </c:txPr>
        <c:crossAx val="842220032"/>
        <c:crosses val="autoZero"/>
        <c:auto val="1"/>
        <c:lblAlgn val="ctr"/>
        <c:lblOffset val="100"/>
        <c:noMultiLvlLbl val="0"/>
      </c:catAx>
      <c:valAx>
        <c:axId val="842220032"/>
        <c:scaling>
          <c:orientation val="minMax"/>
        </c:scaling>
        <c:delete val="1"/>
        <c:axPos val="l"/>
        <c:numFmt formatCode="General" sourceLinked="1"/>
        <c:majorTickMark val="out"/>
        <c:minorTickMark val="none"/>
        <c:tickLblPos val="nextTo"/>
        <c:crossAx val="842227712"/>
        <c:crosses val="autoZero"/>
        <c:crossBetween val="between"/>
      </c:valAx>
      <c:serAx>
        <c:axId val="60109356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4222003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[HR Analytics portfolio.xlsx]Employee Turnover by Department!PivotTable2</c:name>
    <c:fmtId val="1"/>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sz="1400" b="1" i="0" u="none" strike="noStrike" baseline="0">
                <a:solidFill>
                  <a:schemeClr val="bg2"/>
                </a:solidFill>
              </a:rPr>
              <a:t>Employee Turnover by Department &amp; Age Group</a:t>
            </a:r>
            <a:endParaRPr lang="en-US" b="1">
              <a:solidFill>
                <a:schemeClr val="bg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pivotFmt>
    </c:pivotFmts>
    <c:plotArea>
      <c:layout/>
      <c:barChart>
        <c:barDir val="col"/>
        <c:grouping val="stacked"/>
        <c:varyColors val="0"/>
        <c:ser>
          <c:idx val="0"/>
          <c:order val="0"/>
          <c:tx>
            <c:strRef>
              <c:f>'Employee Turnover by Department'!$B$3:$B$4</c:f>
              <c:strCache>
                <c:ptCount val="1"/>
                <c:pt idx="0">
                  <c:v>No</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'Employee Turnover by Department'!$A$5:$A$24</c:f>
              <c:multiLvlStrCache>
                <c:ptCount val="14"/>
                <c:lvl>
                  <c:pt idx="0">
                    <c:v>Adult</c:v>
                  </c:pt>
                  <c:pt idx="1">
                    <c:v>Senior</c:v>
                  </c:pt>
                  <c:pt idx="2">
                    <c:v>Young</c:v>
                  </c:pt>
                  <c:pt idx="3">
                    <c:v>Adult</c:v>
                  </c:pt>
                  <c:pt idx="4">
                    <c:v>Senior</c:v>
                  </c:pt>
                  <c:pt idx="5">
                    <c:v>Young</c:v>
                  </c:pt>
                  <c:pt idx="6">
                    <c:v>Adult</c:v>
                  </c:pt>
                  <c:pt idx="7">
                    <c:v>Senior</c:v>
                  </c:pt>
                  <c:pt idx="8">
                    <c:v>Young</c:v>
                  </c:pt>
                  <c:pt idx="9">
                    <c:v>Adult</c:v>
                  </c:pt>
                  <c:pt idx="10">
                    <c:v>Senior</c:v>
                  </c:pt>
                  <c:pt idx="11">
                    <c:v>Young</c:v>
                  </c:pt>
                  <c:pt idx="12">
                    <c:v>Adult</c:v>
                  </c:pt>
                  <c:pt idx="13">
                    <c:v>Senior</c:v>
                  </c:pt>
                </c:lvl>
                <c:lvl>
                  <c:pt idx="0">
                    <c:v>Finance</c:v>
                  </c:pt>
                  <c:pt idx="3">
                    <c:v>HR</c:v>
                  </c:pt>
                  <c:pt idx="6">
                    <c:v>IT</c:v>
                  </c:pt>
                  <c:pt idx="9">
                    <c:v>Marketing</c:v>
                  </c:pt>
                  <c:pt idx="12">
                    <c:v>Sales</c:v>
                  </c:pt>
                </c:lvl>
              </c:multiLvlStrCache>
            </c:multiLvlStrRef>
          </c:cat>
          <c:val>
            <c:numRef>
              <c:f>'Employee Turnover by Department'!$B$5:$B$24</c:f>
              <c:numCache>
                <c:formatCode>General</c:formatCode>
                <c:ptCount val="14"/>
                <c:pt idx="0">
                  <c:v>4</c:v>
                </c:pt>
                <c:pt idx="1">
                  <c:v>4</c:v>
                </c:pt>
                <c:pt idx="2">
                  <c:v>2</c:v>
                </c:pt>
                <c:pt idx="3">
                  <c:v>1</c:v>
                </c:pt>
                <c:pt idx="4">
                  <c:v>3</c:v>
                </c:pt>
                <c:pt idx="6">
                  <c:v>1</c:v>
                </c:pt>
                <c:pt idx="7">
                  <c:v>1</c:v>
                </c:pt>
                <c:pt idx="8">
                  <c:v>1</c:v>
                </c:pt>
                <c:pt idx="9">
                  <c:v>1</c:v>
                </c:pt>
                <c:pt idx="10">
                  <c:v>2</c:v>
                </c:pt>
                <c:pt idx="13">
                  <c:v>1</c:v>
                </c:pt>
              </c:numCache>
            </c:numRef>
          </c:val>
          <c:extLst>
            <c:ext xmlns:c16="http://schemas.microsoft.com/office/drawing/2014/chart" uri="{C3380CC4-5D6E-409C-BE32-E72D297353CC}">
              <c16:uniqueId val="{00000000-F8FF-484B-A042-AAE104755B1C}"/>
            </c:ext>
          </c:extLst>
        </c:ser>
        <c:ser>
          <c:idx val="1"/>
          <c:order val="1"/>
          <c:tx>
            <c:strRef>
              <c:f>'Employee Turnover by Department'!$C$3:$C$4</c:f>
              <c:strCache>
                <c:ptCount val="1"/>
                <c:pt idx="0">
                  <c:v>Yes</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'Employee Turnover by Department'!$A$5:$A$24</c:f>
              <c:multiLvlStrCache>
                <c:ptCount val="14"/>
                <c:lvl>
                  <c:pt idx="0">
                    <c:v>Adult</c:v>
                  </c:pt>
                  <c:pt idx="1">
                    <c:v>Senior</c:v>
                  </c:pt>
                  <c:pt idx="2">
                    <c:v>Young</c:v>
                  </c:pt>
                  <c:pt idx="3">
                    <c:v>Adult</c:v>
                  </c:pt>
                  <c:pt idx="4">
                    <c:v>Senior</c:v>
                  </c:pt>
                  <c:pt idx="5">
                    <c:v>Young</c:v>
                  </c:pt>
                  <c:pt idx="6">
                    <c:v>Adult</c:v>
                  </c:pt>
                  <c:pt idx="7">
                    <c:v>Senior</c:v>
                  </c:pt>
                  <c:pt idx="8">
                    <c:v>Young</c:v>
                  </c:pt>
                  <c:pt idx="9">
                    <c:v>Adult</c:v>
                  </c:pt>
                  <c:pt idx="10">
                    <c:v>Senior</c:v>
                  </c:pt>
                  <c:pt idx="11">
                    <c:v>Young</c:v>
                  </c:pt>
                  <c:pt idx="12">
                    <c:v>Adult</c:v>
                  </c:pt>
                  <c:pt idx="13">
                    <c:v>Senior</c:v>
                  </c:pt>
                </c:lvl>
                <c:lvl>
                  <c:pt idx="0">
                    <c:v>Finance</c:v>
                  </c:pt>
                  <c:pt idx="3">
                    <c:v>HR</c:v>
                  </c:pt>
                  <c:pt idx="6">
                    <c:v>IT</c:v>
                  </c:pt>
                  <c:pt idx="9">
                    <c:v>Marketing</c:v>
                  </c:pt>
                  <c:pt idx="12">
                    <c:v>Sales</c:v>
                  </c:pt>
                </c:lvl>
              </c:multiLvlStrCache>
            </c:multiLvlStrRef>
          </c:cat>
          <c:val>
            <c:numRef>
              <c:f>'Employee Turnover by Department'!$C$5:$C$24</c:f>
              <c:numCache>
                <c:formatCode>General</c:formatCode>
                <c:ptCount val="14"/>
                <c:pt idx="0">
                  <c:v>1</c:v>
                </c:pt>
                <c:pt idx="1">
                  <c:v>4</c:v>
                </c:pt>
                <c:pt idx="3">
                  <c:v>5</c:v>
                </c:pt>
                <c:pt idx="4">
                  <c:v>3</c:v>
                </c:pt>
                <c:pt idx="5">
                  <c:v>1</c:v>
                </c:pt>
                <c:pt idx="6">
                  <c:v>1</c:v>
                </c:pt>
                <c:pt idx="7">
                  <c:v>2</c:v>
                </c:pt>
                <c:pt idx="9">
                  <c:v>2</c:v>
                </c:pt>
                <c:pt idx="10">
                  <c:v>3</c:v>
                </c:pt>
                <c:pt idx="11">
                  <c:v>1</c:v>
                </c:pt>
                <c:pt idx="12">
                  <c:v>4</c:v>
                </c:pt>
                <c:pt idx="13">
                  <c:v>2</c:v>
                </c:pt>
              </c:numCache>
            </c:numRef>
          </c:val>
          <c:extLst>
            <c:ext xmlns:c16="http://schemas.microsoft.com/office/drawing/2014/chart" uri="{C3380CC4-5D6E-409C-BE32-E72D297353CC}">
              <c16:uniqueId val="{00000000-AFDB-44EE-B777-E24F382FF127}"/>
            </c:ext>
          </c:extLst>
        </c:ser>
        <c:dLbls>
          <c:dLblPos val="ctr"/>
          <c:showLegendKey val="0"/>
          <c:showVal val="1"/>
          <c:showCatName val="0"/>
          <c:showSerName val="0"/>
          <c:showPercent val="0"/>
          <c:showBubbleSize val="0"/>
        </c:dLbls>
        <c:gapWidth val="150"/>
        <c:overlap val="100"/>
        <c:axId val="957678960"/>
        <c:axId val="957676080"/>
      </c:barChart>
      <c:catAx>
        <c:axId val="95767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957676080"/>
        <c:crosses val="autoZero"/>
        <c:auto val="1"/>
        <c:lblAlgn val="ctr"/>
        <c:lblOffset val="100"/>
        <c:noMultiLvlLbl val="0"/>
      </c:catAx>
      <c:valAx>
        <c:axId val="957676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767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portfolio.xlsx]Age Group Distribution!PivotTable3</c:name>
    <c:fmtId val="0"/>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sz="1400" b="1" i="0" u="none" strike="noStrike" baseline="0"/>
              <a:t>Age Group Distribution</a:t>
            </a:r>
            <a:endParaRPr lang="en-US" b="1"/>
          </a:p>
        </c:rich>
      </c:tx>
      <c:layout>
        <c:manualLayout>
          <c:xMode val="edge"/>
          <c:yMode val="edge"/>
          <c:x val="0.30083333333333334"/>
          <c:y val="3.1386701662292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21338320209973755"/>
          <c:y val="0.2291790609507145"/>
          <c:w val="0.41351159230096241"/>
          <c:h val="0.68918598716827073"/>
        </c:manualLayout>
      </c:layout>
      <c:doughnutChart>
        <c:varyColors val="1"/>
        <c:ser>
          <c:idx val="0"/>
          <c:order val="0"/>
          <c:tx>
            <c:strRef>
              <c:f>'Age Group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DD-4182-8D14-28AC72F2AD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DD-4182-8D14-28AC72F2AD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CDD-4182-8D14-28AC72F2ADA5}"/>
              </c:ext>
            </c:extLst>
          </c:dPt>
          <c:dLbls>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'Age Group Distribution'!$A$4:$A$7</c:f>
              <c:strCache>
                <c:ptCount val="3"/>
                <c:pt idx="0">
                  <c:v>Adult</c:v>
                </c:pt>
                <c:pt idx="1">
                  <c:v>Senior</c:v>
                </c:pt>
                <c:pt idx="2">
                  <c:v>Young</c:v>
                </c:pt>
              </c:strCache>
            </c:strRef>
          </c:cat>
          <c:val>
            <c:numRef>
              <c:f>'Age Group Distribution'!$B$4:$B$7</c:f>
              <c:numCache>
                <c:formatCode>General</c:formatCode>
                <c:ptCount val="3"/>
                <c:pt idx="0">
                  <c:v>20</c:v>
                </c:pt>
                <c:pt idx="1">
                  <c:v>25</c:v>
                </c:pt>
                <c:pt idx="2">
                  <c:v>5</c:v>
                </c:pt>
              </c:numCache>
            </c:numRef>
          </c:val>
          <c:extLst>
            <c:ext xmlns:c16="http://schemas.microsoft.com/office/drawing/2014/chart" uri="{C3380CC4-5D6E-409C-BE32-E72D297353CC}">
              <c16:uniqueId val="{00000000-036D-49F1-AC17-C8A7D710BF5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portfolio.xlsx]Monthly Income By Department!PivotTable4</c:name>
    <c:fmtId val="1"/>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sz="1400" b="1" i="0" u="none" strike="noStrike" baseline="0"/>
              <a:t>Monthly Income by Department</a:t>
            </a:r>
            <a:endParaRPr lang="en-US" b="1">
              <a:solidFill>
                <a:schemeClr val="bg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bg2"/>
          </a:solidFill>
          <a:ln>
            <a:noFill/>
          </a:ln>
          <a:effectLst/>
          <a:scene3d>
            <a:camera prst="orthographicFront"/>
            <a:lightRig rig="threePt" dir="t"/>
          </a:scene3d>
          <a:sp3d>
            <a:bevelT w="139700" h="139700" prst="divo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a:scene3d>
            <a:camera prst="orthographicFront"/>
            <a:lightRig rig="threePt" dir="t"/>
          </a:scene3d>
          <a:sp3d>
            <a:bevelT w="139700" h="139700" prst="divot"/>
          </a:sp3d>
        </c:spPr>
      </c:pivotFmt>
    </c:pivotFmts>
    <c:plotArea>
      <c:layout/>
      <c:barChart>
        <c:barDir val="col"/>
        <c:grouping val="clustered"/>
        <c:varyColors val="0"/>
        <c:ser>
          <c:idx val="0"/>
          <c:order val="0"/>
          <c:tx>
            <c:strRef>
              <c:f>'Monthly Income By Department'!$B$3</c:f>
              <c:strCache>
                <c:ptCount val="1"/>
                <c:pt idx="0">
                  <c:v>Total</c:v>
                </c:pt>
              </c:strCache>
            </c:strRef>
          </c:tx>
          <c:spPr>
            <a:solidFill>
              <a:schemeClr val="bg2"/>
            </a:solidFill>
            <a:ln>
              <a:noFill/>
            </a:ln>
            <a:effectLst/>
            <a:scene3d>
              <a:camera prst="orthographicFront"/>
              <a:lightRig rig="threePt" dir="t"/>
            </a:scene3d>
            <a:sp3d>
              <a:bevelT w="139700" h="139700" prst="divo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Income By Department'!$A$4:$A$9</c:f>
              <c:strCache>
                <c:ptCount val="5"/>
                <c:pt idx="0">
                  <c:v>Finance</c:v>
                </c:pt>
                <c:pt idx="1">
                  <c:v>HR</c:v>
                </c:pt>
                <c:pt idx="2">
                  <c:v>IT</c:v>
                </c:pt>
                <c:pt idx="3">
                  <c:v>Marketing</c:v>
                </c:pt>
                <c:pt idx="4">
                  <c:v>Sales</c:v>
                </c:pt>
              </c:strCache>
            </c:strRef>
          </c:cat>
          <c:val>
            <c:numRef>
              <c:f>'Monthly Income By Department'!$B$4:$B$9</c:f>
              <c:numCache>
                <c:formatCode>0</c:formatCode>
                <c:ptCount val="5"/>
                <c:pt idx="0">
                  <c:v>74021.2</c:v>
                </c:pt>
                <c:pt idx="1">
                  <c:v>75727.230769230766</c:v>
                </c:pt>
                <c:pt idx="2">
                  <c:v>71967.333333333328</c:v>
                </c:pt>
                <c:pt idx="3">
                  <c:v>89938</c:v>
                </c:pt>
                <c:pt idx="4">
                  <c:v>91795.571428571435</c:v>
                </c:pt>
              </c:numCache>
            </c:numRef>
          </c:val>
          <c:extLst>
            <c:ext xmlns:c16="http://schemas.microsoft.com/office/drawing/2014/chart" uri="{C3380CC4-5D6E-409C-BE32-E72D297353CC}">
              <c16:uniqueId val="{00000000-40B3-414B-BCAC-7CCD89684672}"/>
            </c:ext>
          </c:extLst>
        </c:ser>
        <c:dLbls>
          <c:dLblPos val="outEnd"/>
          <c:showLegendKey val="0"/>
          <c:showVal val="1"/>
          <c:showCatName val="0"/>
          <c:showSerName val="0"/>
          <c:showPercent val="0"/>
          <c:showBubbleSize val="0"/>
        </c:dLbls>
        <c:gapWidth val="219"/>
        <c:overlap val="-27"/>
        <c:axId val="844141600"/>
        <c:axId val="844142080"/>
      </c:barChart>
      <c:catAx>
        <c:axId val="84414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844142080"/>
        <c:crosses val="autoZero"/>
        <c:auto val="1"/>
        <c:lblAlgn val="ctr"/>
        <c:lblOffset val="100"/>
        <c:noMultiLvlLbl val="0"/>
      </c:catAx>
      <c:valAx>
        <c:axId val="8441420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84414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portfolio.xlsx]Performance Rating Distribution!PivotTable5</c:name>
    <c:fmtId val="0"/>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sz="1400" b="1" i="0" u="none" strike="noStrike" baseline="0"/>
              <a:t>Performance Rating Distribution</a:t>
            </a:r>
            <a:endParaRPr lang="en-US" b="1">
              <a:solidFill>
                <a:schemeClr val="bg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bg2"/>
          </a:solidFill>
          <a:ln>
            <a:noFill/>
          </a:ln>
          <a:effectLst/>
          <a:scene3d>
            <a:camera prst="orthographicFront"/>
            <a:lightRig rig="threePt" dir="t"/>
          </a:scene3d>
          <a:sp3d>
            <a:bevelT w="1016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cene3d>
          <a:camera prst="orthographicFront"/>
          <a:lightRig rig="threePt" dir="t"/>
        </a:scene3d>
        <a:sp3d>
          <a:bevelT prst="relaxedInset"/>
        </a:sp3d>
      </c:spPr>
    </c:backWall>
    <c:plotArea>
      <c:layout/>
      <c:bar3DChart>
        <c:barDir val="bar"/>
        <c:grouping val="stacked"/>
        <c:varyColors val="0"/>
        <c:ser>
          <c:idx val="0"/>
          <c:order val="0"/>
          <c:tx>
            <c:strRef>
              <c:f>'Performance Rating Distribution'!$B$3</c:f>
              <c:strCache>
                <c:ptCount val="1"/>
                <c:pt idx="0">
                  <c:v>Total</c:v>
                </c:pt>
              </c:strCache>
            </c:strRef>
          </c:tx>
          <c:spPr>
            <a:solidFill>
              <a:schemeClr val="bg2"/>
            </a:solidFill>
            <a:ln>
              <a:noFill/>
            </a:ln>
            <a:effectLst/>
            <a:scene3d>
              <a:camera prst="orthographicFront"/>
              <a:lightRig rig="threePt" dir="t"/>
            </a:scene3d>
            <a:sp3d>
              <a:bevelT w="1016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Rating Distribution'!$A$4:$A$9</c:f>
              <c:strCache>
                <c:ptCount val="5"/>
                <c:pt idx="0">
                  <c:v>1</c:v>
                </c:pt>
                <c:pt idx="1">
                  <c:v>2</c:v>
                </c:pt>
                <c:pt idx="2">
                  <c:v>3</c:v>
                </c:pt>
                <c:pt idx="3">
                  <c:v>4</c:v>
                </c:pt>
                <c:pt idx="4">
                  <c:v>5</c:v>
                </c:pt>
              </c:strCache>
            </c:strRef>
          </c:cat>
          <c:val>
            <c:numRef>
              <c:f>'Performance Rating Distribution'!$B$4:$B$9</c:f>
              <c:numCache>
                <c:formatCode>General</c:formatCode>
                <c:ptCount val="5"/>
                <c:pt idx="0">
                  <c:v>11</c:v>
                </c:pt>
                <c:pt idx="1">
                  <c:v>11</c:v>
                </c:pt>
                <c:pt idx="2">
                  <c:v>12</c:v>
                </c:pt>
                <c:pt idx="3">
                  <c:v>10</c:v>
                </c:pt>
                <c:pt idx="4">
                  <c:v>6</c:v>
                </c:pt>
              </c:numCache>
            </c:numRef>
          </c:val>
          <c:extLst>
            <c:ext xmlns:c16="http://schemas.microsoft.com/office/drawing/2014/chart" uri="{C3380CC4-5D6E-409C-BE32-E72D297353CC}">
              <c16:uniqueId val="{00000000-D704-4161-A1CA-57A508EDB7F1}"/>
            </c:ext>
          </c:extLst>
        </c:ser>
        <c:dLbls>
          <c:showLegendKey val="0"/>
          <c:showVal val="1"/>
          <c:showCatName val="0"/>
          <c:showSerName val="0"/>
          <c:showPercent val="0"/>
          <c:showBubbleSize val="0"/>
        </c:dLbls>
        <c:gapWidth val="150"/>
        <c:shape val="box"/>
        <c:axId val="1082265616"/>
        <c:axId val="1082266096"/>
        <c:axId val="0"/>
      </c:bar3DChart>
      <c:catAx>
        <c:axId val="1082265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82266096"/>
        <c:crosses val="autoZero"/>
        <c:auto val="1"/>
        <c:lblAlgn val="ctr"/>
        <c:lblOffset val="100"/>
        <c:noMultiLvlLbl val="0"/>
      </c:catAx>
      <c:valAx>
        <c:axId val="1082266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8226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portfolio.xlsx]Department Wise Employee Count!PivotTable1</c:name>
    <c:fmtId val="23"/>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sz="1800" b="0" i="0" u="none" strike="noStrike" cap="all" baseline="0"/>
              <a:t>Department WISE Employee Count </a:t>
            </a:r>
            <a:endParaRPr lang="en-US"/>
          </a:p>
        </c:rich>
      </c:tx>
      <c:layout>
        <c:manualLayout>
          <c:xMode val="edge"/>
          <c:yMode val="edge"/>
          <c:x val="9.9003436426116836E-2"/>
          <c:y val="0"/>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3.3333333333333284E-2"/>
              <c:y val="-5.5555555555555552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1666666666666567E-2"/>
              <c:y val="-4.6296296296296294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9999999999999899E-2"/>
              <c:y val="-3.7037037037037125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3.6111111111111108E-2"/>
              <c:y val="-3.7037037037037077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7222222222222221E-2"/>
              <c:y val="-3.7037037037037077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7222222222222221E-2"/>
              <c:y val="-3.7037037037037077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3.6111111111111108E-2"/>
              <c:y val="-3.7037037037037077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3.3333333333333284E-2"/>
              <c:y val="-5.5555555555555552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1666666666666567E-2"/>
              <c:y val="-4.6296296296296294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9999999999999899E-2"/>
              <c:y val="-3.7037037037037125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7222222222222221E-2"/>
              <c:y val="-3.7037037037037077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3.6111111111111108E-2"/>
              <c:y val="-3.7037037037037077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3.3333333333333284E-2"/>
              <c:y val="-5.5555555555555552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1666666666666567E-2"/>
              <c:y val="-4.6296296296296294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dLbl>
          <c:idx val="0"/>
          <c:layout>
            <c:manualLayout>
              <c:x val="4.9999999999999899E-2"/>
              <c:y val="-3.7037037037037125E-2"/>
            </c:manualLayout>
          </c:layout>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3276067764256752E-2"/>
          <c:y val="0.18506982339784137"/>
          <c:w val="0.77091863517060366"/>
          <c:h val="0.69827172645086033"/>
        </c:manualLayout>
      </c:layout>
      <c:bar3DChart>
        <c:barDir val="col"/>
        <c:grouping val="standard"/>
        <c:varyColors val="0"/>
        <c:ser>
          <c:idx val="0"/>
          <c:order val="0"/>
          <c:tx>
            <c:strRef>
              <c:f>'Department Wise Employee Count'!$B$3</c:f>
              <c:strCache>
                <c:ptCount val="1"/>
                <c:pt idx="0">
                  <c:v>Total</c:v>
                </c:pt>
              </c:strCache>
            </c:strRef>
          </c:tx>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Pt>
            <c:idx val="0"/>
            <c:invertIfNegative val="0"/>
            <c:bubble3D val="0"/>
            <c:extLst>
              <c:ext xmlns:c16="http://schemas.microsoft.com/office/drawing/2014/chart" uri="{C3380CC4-5D6E-409C-BE32-E72D297353CC}">
                <c16:uniqueId val="{00000001-3D65-4D93-A240-9FCADAA0502C}"/>
              </c:ext>
            </c:extLst>
          </c:dPt>
          <c:dPt>
            <c:idx val="1"/>
            <c:invertIfNegative val="0"/>
            <c:bubble3D val="0"/>
            <c:extLst>
              <c:ext xmlns:c16="http://schemas.microsoft.com/office/drawing/2014/chart" uri="{C3380CC4-5D6E-409C-BE32-E72D297353CC}">
                <c16:uniqueId val="{00000003-3D65-4D93-A240-9FCADAA0502C}"/>
              </c:ext>
            </c:extLst>
          </c:dPt>
          <c:dPt>
            <c:idx val="2"/>
            <c:invertIfNegative val="0"/>
            <c:bubble3D val="0"/>
            <c:spPr>
              <a:solidFill>
                <a:schemeClr val="bg2"/>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extLst>
              <c:ext xmlns:c16="http://schemas.microsoft.com/office/drawing/2014/chart" uri="{C3380CC4-5D6E-409C-BE32-E72D297353CC}">
                <c16:uniqueId val="{00000005-3D65-4D93-A240-9FCADAA0502C}"/>
              </c:ext>
            </c:extLst>
          </c:dPt>
          <c:dPt>
            <c:idx val="3"/>
            <c:invertIfNegative val="0"/>
            <c:bubble3D val="0"/>
            <c:extLst>
              <c:ext xmlns:c16="http://schemas.microsoft.com/office/drawing/2014/chart" uri="{C3380CC4-5D6E-409C-BE32-E72D297353CC}">
                <c16:uniqueId val="{00000007-3D65-4D93-A240-9FCADAA0502C}"/>
              </c:ext>
            </c:extLst>
          </c:dPt>
          <c:dPt>
            <c:idx val="4"/>
            <c:invertIfNegative val="0"/>
            <c:bubble3D val="0"/>
            <c:extLst>
              <c:ext xmlns:c16="http://schemas.microsoft.com/office/drawing/2014/chart" uri="{C3380CC4-5D6E-409C-BE32-E72D297353CC}">
                <c16:uniqueId val="{00000009-3D65-4D93-A240-9FCADAA0502C}"/>
              </c:ext>
            </c:extLst>
          </c:dPt>
          <c:dLbls>
            <c:dLbl>
              <c:idx val="0"/>
              <c:layout>
                <c:manualLayout>
                  <c:x val="4.7222222222222221E-2"/>
                  <c:y val="-3.7037037037037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65-4D93-A240-9FCADAA0502C}"/>
                </c:ext>
              </c:extLst>
            </c:dLbl>
            <c:dLbl>
              <c:idx val="1"/>
              <c:layout>
                <c:manualLayout>
                  <c:x val="3.6111111111111108E-2"/>
                  <c:y val="-3.703703703703707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65-4D93-A240-9FCADAA0502C}"/>
                </c:ext>
              </c:extLst>
            </c:dLbl>
            <c:dLbl>
              <c:idx val="2"/>
              <c:layout>
                <c:manualLayout>
                  <c:x val="3.3333333333333284E-2"/>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D65-4D93-A240-9FCADAA0502C}"/>
                </c:ext>
              </c:extLst>
            </c:dLbl>
            <c:dLbl>
              <c:idx val="3"/>
              <c:layout>
                <c:manualLayout>
                  <c:x val="4.1666666666666567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D65-4D93-A240-9FCADAA0502C}"/>
                </c:ext>
              </c:extLst>
            </c:dLbl>
            <c:dLbl>
              <c:idx val="4"/>
              <c:layout>
                <c:manualLayout>
                  <c:x val="4.9999999999999899E-2"/>
                  <c:y val="-3.7037037037037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D65-4D93-A240-9FCADAA0502C}"/>
                </c:ext>
              </c:extLst>
            </c:dLbl>
            <c:spPr>
              <a:solidFill>
                <a:srgbClr val="4F81BD">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'Department Wise Employee Count'!$A$4:$A$9</c:f>
              <c:strCache>
                <c:ptCount val="5"/>
                <c:pt idx="0">
                  <c:v>Finance</c:v>
                </c:pt>
                <c:pt idx="1">
                  <c:v>HR</c:v>
                </c:pt>
                <c:pt idx="2">
                  <c:v>IT</c:v>
                </c:pt>
                <c:pt idx="3">
                  <c:v>Marketing</c:v>
                </c:pt>
                <c:pt idx="4">
                  <c:v>Sales</c:v>
                </c:pt>
              </c:strCache>
            </c:strRef>
          </c:cat>
          <c:val>
            <c:numRef>
              <c:f>'Department Wise Employee Count'!$B$4:$B$9</c:f>
              <c:numCache>
                <c:formatCode>General</c:formatCode>
                <c:ptCount val="5"/>
                <c:pt idx="0">
                  <c:v>15</c:v>
                </c:pt>
                <c:pt idx="1">
                  <c:v>13</c:v>
                </c:pt>
                <c:pt idx="2">
                  <c:v>6</c:v>
                </c:pt>
                <c:pt idx="3">
                  <c:v>9</c:v>
                </c:pt>
                <c:pt idx="4">
                  <c:v>7</c:v>
                </c:pt>
              </c:numCache>
            </c:numRef>
          </c:val>
          <c:extLst>
            <c:ext xmlns:c16="http://schemas.microsoft.com/office/drawing/2014/chart" uri="{C3380CC4-5D6E-409C-BE32-E72D297353CC}">
              <c16:uniqueId val="{0000000A-3D65-4D93-A240-9FCADAA0502C}"/>
            </c:ext>
          </c:extLst>
        </c:ser>
        <c:dLbls>
          <c:showLegendKey val="0"/>
          <c:showVal val="1"/>
          <c:showCatName val="0"/>
          <c:showSerName val="0"/>
          <c:showPercent val="0"/>
          <c:showBubbleSize val="0"/>
        </c:dLbls>
        <c:gapWidth val="84"/>
        <c:gapDepth val="53"/>
        <c:shape val="box"/>
        <c:axId val="842227712"/>
        <c:axId val="842220032"/>
        <c:axId val="601093568"/>
      </c:bar3DChart>
      <c:catAx>
        <c:axId val="8422277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lt1">
                    <a:lumMod val="75000"/>
                  </a:schemeClr>
                </a:solidFill>
                <a:latin typeface="+mn-lt"/>
                <a:ea typeface="+mn-ea"/>
                <a:cs typeface="+mn-cs"/>
              </a:defRPr>
            </a:pPr>
            <a:endParaRPr lang="en-US"/>
          </a:p>
        </c:txPr>
        <c:crossAx val="842220032"/>
        <c:crosses val="autoZero"/>
        <c:auto val="1"/>
        <c:lblAlgn val="ctr"/>
        <c:lblOffset val="100"/>
        <c:noMultiLvlLbl val="0"/>
      </c:catAx>
      <c:valAx>
        <c:axId val="842220032"/>
        <c:scaling>
          <c:orientation val="minMax"/>
        </c:scaling>
        <c:delete val="1"/>
        <c:axPos val="l"/>
        <c:numFmt formatCode="General" sourceLinked="1"/>
        <c:majorTickMark val="out"/>
        <c:minorTickMark val="none"/>
        <c:tickLblPos val="nextTo"/>
        <c:crossAx val="842227712"/>
        <c:crosses val="autoZero"/>
        <c:crossBetween val="between"/>
      </c:valAx>
      <c:serAx>
        <c:axId val="601093568"/>
        <c:scaling>
          <c:orientation val="minMax"/>
        </c:scaling>
        <c:delete val="1"/>
        <c:axPos val="b"/>
        <c:majorTickMark val="none"/>
        <c:minorTickMark val="none"/>
        <c:tickLblPos val="nextTo"/>
        <c:crossAx val="84222003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[HR Analytics portfolio.xlsx]Employee Turnover by Department!PivotTable2</c:name>
    <c:fmtId val="10"/>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sz="1400" b="1" i="0" u="none" strike="noStrike" baseline="0">
                <a:solidFill>
                  <a:schemeClr val="bg2"/>
                </a:solidFill>
              </a:rPr>
              <a:t>Employee Turnover by Department &amp; Age Group</a:t>
            </a:r>
            <a:endParaRPr lang="en-US" b="1">
              <a:solidFill>
                <a:schemeClr val="bg2"/>
              </a:solidFill>
            </a:endParaRPr>
          </a:p>
        </c:rich>
      </c:tx>
      <c:layout>
        <c:manualLayout>
          <c:xMode val="edge"/>
          <c:yMode val="edge"/>
          <c:x val="0.10713468400719572"/>
          <c:y val="3.265306122448979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'Employee Turnover by Department'!$B$3:$B$4</c:f>
              <c:strCache>
                <c:ptCount val="1"/>
                <c:pt idx="0">
                  <c:v>No</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'Employee Turnover by Department'!$A$5:$A$24</c:f>
              <c:multiLvlStrCache>
                <c:ptCount val="14"/>
                <c:lvl>
                  <c:pt idx="0">
                    <c:v>Adult</c:v>
                  </c:pt>
                  <c:pt idx="1">
                    <c:v>Senior</c:v>
                  </c:pt>
                  <c:pt idx="2">
                    <c:v>Young</c:v>
                  </c:pt>
                  <c:pt idx="3">
                    <c:v>Adult</c:v>
                  </c:pt>
                  <c:pt idx="4">
                    <c:v>Senior</c:v>
                  </c:pt>
                  <c:pt idx="5">
                    <c:v>Young</c:v>
                  </c:pt>
                  <c:pt idx="6">
                    <c:v>Adult</c:v>
                  </c:pt>
                  <c:pt idx="7">
                    <c:v>Senior</c:v>
                  </c:pt>
                  <c:pt idx="8">
                    <c:v>Young</c:v>
                  </c:pt>
                  <c:pt idx="9">
                    <c:v>Adult</c:v>
                  </c:pt>
                  <c:pt idx="10">
                    <c:v>Senior</c:v>
                  </c:pt>
                  <c:pt idx="11">
                    <c:v>Young</c:v>
                  </c:pt>
                  <c:pt idx="12">
                    <c:v>Adult</c:v>
                  </c:pt>
                  <c:pt idx="13">
                    <c:v>Senior</c:v>
                  </c:pt>
                </c:lvl>
                <c:lvl>
                  <c:pt idx="0">
                    <c:v>Finance</c:v>
                  </c:pt>
                  <c:pt idx="3">
                    <c:v>HR</c:v>
                  </c:pt>
                  <c:pt idx="6">
                    <c:v>IT</c:v>
                  </c:pt>
                  <c:pt idx="9">
                    <c:v>Marketing</c:v>
                  </c:pt>
                  <c:pt idx="12">
                    <c:v>Sales</c:v>
                  </c:pt>
                </c:lvl>
              </c:multiLvlStrCache>
            </c:multiLvlStrRef>
          </c:cat>
          <c:val>
            <c:numRef>
              <c:f>'Employee Turnover by Department'!$B$5:$B$24</c:f>
              <c:numCache>
                <c:formatCode>General</c:formatCode>
                <c:ptCount val="14"/>
                <c:pt idx="0">
                  <c:v>4</c:v>
                </c:pt>
                <c:pt idx="1">
                  <c:v>4</c:v>
                </c:pt>
                <c:pt idx="2">
                  <c:v>2</c:v>
                </c:pt>
                <c:pt idx="3">
                  <c:v>1</c:v>
                </c:pt>
                <c:pt idx="4">
                  <c:v>3</c:v>
                </c:pt>
                <c:pt idx="6">
                  <c:v>1</c:v>
                </c:pt>
                <c:pt idx="7">
                  <c:v>1</c:v>
                </c:pt>
                <c:pt idx="8">
                  <c:v>1</c:v>
                </c:pt>
                <c:pt idx="9">
                  <c:v>1</c:v>
                </c:pt>
                <c:pt idx="10">
                  <c:v>2</c:v>
                </c:pt>
                <c:pt idx="13">
                  <c:v>1</c:v>
                </c:pt>
              </c:numCache>
            </c:numRef>
          </c:val>
          <c:extLst>
            <c:ext xmlns:c16="http://schemas.microsoft.com/office/drawing/2014/chart" uri="{C3380CC4-5D6E-409C-BE32-E72D297353CC}">
              <c16:uniqueId val="{00000000-9714-47F2-903B-F3447415D88B}"/>
            </c:ext>
          </c:extLst>
        </c:ser>
        <c:ser>
          <c:idx val="1"/>
          <c:order val="1"/>
          <c:tx>
            <c:strRef>
              <c:f>'Employee Turnover by Department'!$C$3:$C$4</c:f>
              <c:strCache>
                <c:ptCount val="1"/>
                <c:pt idx="0">
                  <c:v>Yes</c:v>
                </c:pt>
              </c:strCache>
            </c:strRef>
          </c:tx>
          <c:spPr>
            <a:solidFill>
              <a:schemeClr val="dk1">
                <a:tint val="5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'Employee Turnover by Department'!$A$5:$A$24</c:f>
              <c:multiLvlStrCache>
                <c:ptCount val="14"/>
                <c:lvl>
                  <c:pt idx="0">
                    <c:v>Adult</c:v>
                  </c:pt>
                  <c:pt idx="1">
                    <c:v>Senior</c:v>
                  </c:pt>
                  <c:pt idx="2">
                    <c:v>Young</c:v>
                  </c:pt>
                  <c:pt idx="3">
                    <c:v>Adult</c:v>
                  </c:pt>
                  <c:pt idx="4">
                    <c:v>Senior</c:v>
                  </c:pt>
                  <c:pt idx="5">
                    <c:v>Young</c:v>
                  </c:pt>
                  <c:pt idx="6">
                    <c:v>Adult</c:v>
                  </c:pt>
                  <c:pt idx="7">
                    <c:v>Senior</c:v>
                  </c:pt>
                  <c:pt idx="8">
                    <c:v>Young</c:v>
                  </c:pt>
                  <c:pt idx="9">
                    <c:v>Adult</c:v>
                  </c:pt>
                  <c:pt idx="10">
                    <c:v>Senior</c:v>
                  </c:pt>
                  <c:pt idx="11">
                    <c:v>Young</c:v>
                  </c:pt>
                  <c:pt idx="12">
                    <c:v>Adult</c:v>
                  </c:pt>
                  <c:pt idx="13">
                    <c:v>Senior</c:v>
                  </c:pt>
                </c:lvl>
                <c:lvl>
                  <c:pt idx="0">
                    <c:v>Finance</c:v>
                  </c:pt>
                  <c:pt idx="3">
                    <c:v>HR</c:v>
                  </c:pt>
                  <c:pt idx="6">
                    <c:v>IT</c:v>
                  </c:pt>
                  <c:pt idx="9">
                    <c:v>Marketing</c:v>
                  </c:pt>
                  <c:pt idx="12">
                    <c:v>Sales</c:v>
                  </c:pt>
                </c:lvl>
              </c:multiLvlStrCache>
            </c:multiLvlStrRef>
          </c:cat>
          <c:val>
            <c:numRef>
              <c:f>'Employee Turnover by Department'!$C$5:$C$24</c:f>
              <c:numCache>
                <c:formatCode>General</c:formatCode>
                <c:ptCount val="14"/>
                <c:pt idx="0">
                  <c:v>1</c:v>
                </c:pt>
                <c:pt idx="1">
                  <c:v>4</c:v>
                </c:pt>
                <c:pt idx="3">
                  <c:v>5</c:v>
                </c:pt>
                <c:pt idx="4">
                  <c:v>3</c:v>
                </c:pt>
                <c:pt idx="5">
                  <c:v>1</c:v>
                </c:pt>
                <c:pt idx="6">
                  <c:v>1</c:v>
                </c:pt>
                <c:pt idx="7">
                  <c:v>2</c:v>
                </c:pt>
                <c:pt idx="9">
                  <c:v>2</c:v>
                </c:pt>
                <c:pt idx="10">
                  <c:v>3</c:v>
                </c:pt>
                <c:pt idx="11">
                  <c:v>1</c:v>
                </c:pt>
                <c:pt idx="12">
                  <c:v>4</c:v>
                </c:pt>
                <c:pt idx="13">
                  <c:v>2</c:v>
                </c:pt>
              </c:numCache>
            </c:numRef>
          </c:val>
          <c:extLst>
            <c:ext xmlns:c16="http://schemas.microsoft.com/office/drawing/2014/chart" uri="{C3380CC4-5D6E-409C-BE32-E72D297353CC}">
              <c16:uniqueId val="{00000000-E4AC-42BB-9CDB-DF0FDD7A1635}"/>
            </c:ext>
          </c:extLst>
        </c:ser>
        <c:dLbls>
          <c:dLblPos val="ctr"/>
          <c:showLegendKey val="0"/>
          <c:showVal val="1"/>
          <c:showCatName val="0"/>
          <c:showSerName val="0"/>
          <c:showPercent val="0"/>
          <c:showBubbleSize val="0"/>
        </c:dLbls>
        <c:gapWidth val="150"/>
        <c:overlap val="100"/>
        <c:axId val="957678960"/>
        <c:axId val="957676080"/>
      </c:barChart>
      <c:catAx>
        <c:axId val="95767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957676080"/>
        <c:crosses val="autoZero"/>
        <c:auto val="1"/>
        <c:lblAlgn val="ctr"/>
        <c:lblOffset val="100"/>
        <c:noMultiLvlLbl val="0"/>
      </c:catAx>
      <c:valAx>
        <c:axId val="957676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5767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portfolio.xlsx]Age Group Distribution!PivotTable3</c:name>
    <c:fmtId val="11"/>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sz="1400" b="1" i="0" u="none" strike="noStrike" baseline="0"/>
              <a:t>Age Group Distribution</a:t>
            </a:r>
            <a:endParaRPr lang="en-US" b="1"/>
          </a:p>
        </c:rich>
      </c:tx>
      <c:layout>
        <c:manualLayout>
          <c:xMode val="edge"/>
          <c:yMode val="edge"/>
          <c:x val="0.30083333333333334"/>
          <c:y val="3.138670166229221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26435194274455748"/>
          <c:y val="0.22917895826401982"/>
          <c:w val="0.41351159230096241"/>
          <c:h val="0.68918598716827073"/>
        </c:manualLayout>
      </c:layout>
      <c:doughnutChart>
        <c:varyColors val="1"/>
        <c:ser>
          <c:idx val="0"/>
          <c:order val="0"/>
          <c:tx>
            <c:strRef>
              <c:f>'Age Group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C24-4AB5-A6AC-53018C3D8C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C24-4AB5-A6AC-53018C3D8C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C24-4AB5-A6AC-53018C3D8CB7}"/>
              </c:ext>
            </c:extLst>
          </c:dPt>
          <c:dLbls>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'Age Group Distribution'!$A$4:$A$7</c:f>
              <c:strCache>
                <c:ptCount val="3"/>
                <c:pt idx="0">
                  <c:v>Adult</c:v>
                </c:pt>
                <c:pt idx="1">
                  <c:v>Senior</c:v>
                </c:pt>
                <c:pt idx="2">
                  <c:v>Young</c:v>
                </c:pt>
              </c:strCache>
            </c:strRef>
          </c:cat>
          <c:val>
            <c:numRef>
              <c:f>'Age Group Distribution'!$B$4:$B$7</c:f>
              <c:numCache>
                <c:formatCode>General</c:formatCode>
                <c:ptCount val="3"/>
                <c:pt idx="0">
                  <c:v>20</c:v>
                </c:pt>
                <c:pt idx="1">
                  <c:v>25</c:v>
                </c:pt>
                <c:pt idx="2">
                  <c:v>5</c:v>
                </c:pt>
              </c:numCache>
            </c:numRef>
          </c:val>
          <c:extLst>
            <c:ext xmlns:c16="http://schemas.microsoft.com/office/drawing/2014/chart" uri="{C3380CC4-5D6E-409C-BE32-E72D297353CC}">
              <c16:uniqueId val="{00000006-9C24-4AB5-A6AC-53018C3D8CB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portfolio.xlsx]Monthly Income By Department!PivotTable4</c:name>
    <c:fmtId val="9"/>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sz="1400" b="1" i="0" u="none" strike="noStrike" baseline="0"/>
              <a:t>Monthly Income by Department</a:t>
            </a:r>
            <a:endParaRPr lang="en-US" b="1">
              <a:solidFill>
                <a:schemeClr val="bg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bg2"/>
          </a:solidFill>
          <a:ln>
            <a:noFill/>
          </a:ln>
          <a:effectLst/>
          <a:scene3d>
            <a:camera prst="orthographicFront"/>
            <a:lightRig rig="threePt" dir="t"/>
          </a:scene3d>
          <a:sp3d>
            <a:bevelT w="139700" h="139700" prst="divo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a:scene3d>
            <a:camera prst="orthographicFront"/>
            <a:lightRig rig="threePt" dir="t"/>
          </a:scene3d>
          <a:sp3d>
            <a:bevelT w="139700" h="139700" prst="divot"/>
          </a:sp3d>
        </c:spPr>
      </c:pivotFmt>
      <c:pivotFmt>
        <c:idx val="2"/>
        <c:spPr>
          <a:solidFill>
            <a:schemeClr val="bg2"/>
          </a:solidFill>
          <a:ln>
            <a:noFill/>
          </a:ln>
          <a:effectLst/>
          <a:scene3d>
            <a:camera prst="orthographicFront"/>
            <a:lightRig rig="threePt" dir="t"/>
          </a:scene3d>
          <a:sp3d>
            <a:bevelT w="139700" h="139700" prst="divo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a:scene3d>
            <a:camera prst="orthographicFront"/>
            <a:lightRig rig="threePt" dir="t"/>
          </a:scene3d>
          <a:sp3d>
            <a:bevelT w="139700" h="139700" prst="divo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Income By Department'!$B$3</c:f>
              <c:strCache>
                <c:ptCount val="1"/>
                <c:pt idx="0">
                  <c:v>Total</c:v>
                </c:pt>
              </c:strCache>
            </c:strRef>
          </c:tx>
          <c:spPr>
            <a:solidFill>
              <a:schemeClr val="bg2"/>
            </a:solidFill>
            <a:ln>
              <a:noFill/>
            </a:ln>
            <a:effectLst/>
            <a:scene3d>
              <a:camera prst="orthographicFront"/>
              <a:lightRig rig="threePt" dir="t"/>
            </a:scene3d>
            <a:sp3d>
              <a:bevelT w="139700" h="139700" prst="divo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Income By Department'!$A$4:$A$9</c:f>
              <c:strCache>
                <c:ptCount val="5"/>
                <c:pt idx="0">
                  <c:v>Finance</c:v>
                </c:pt>
                <c:pt idx="1">
                  <c:v>HR</c:v>
                </c:pt>
                <c:pt idx="2">
                  <c:v>IT</c:v>
                </c:pt>
                <c:pt idx="3">
                  <c:v>Marketing</c:v>
                </c:pt>
                <c:pt idx="4">
                  <c:v>Sales</c:v>
                </c:pt>
              </c:strCache>
            </c:strRef>
          </c:cat>
          <c:val>
            <c:numRef>
              <c:f>'Monthly Income By Department'!$B$4:$B$9</c:f>
              <c:numCache>
                <c:formatCode>0</c:formatCode>
                <c:ptCount val="5"/>
                <c:pt idx="0">
                  <c:v>74021.2</c:v>
                </c:pt>
                <c:pt idx="1">
                  <c:v>75727.230769230766</c:v>
                </c:pt>
                <c:pt idx="2">
                  <c:v>71967.333333333328</c:v>
                </c:pt>
                <c:pt idx="3">
                  <c:v>89938</c:v>
                </c:pt>
                <c:pt idx="4">
                  <c:v>91795.571428571435</c:v>
                </c:pt>
              </c:numCache>
            </c:numRef>
          </c:val>
          <c:extLst>
            <c:ext xmlns:c16="http://schemas.microsoft.com/office/drawing/2014/chart" uri="{C3380CC4-5D6E-409C-BE32-E72D297353CC}">
              <c16:uniqueId val="{00000000-4510-42C6-B1B3-3E1171B923B5}"/>
            </c:ext>
          </c:extLst>
        </c:ser>
        <c:dLbls>
          <c:dLblPos val="outEnd"/>
          <c:showLegendKey val="0"/>
          <c:showVal val="1"/>
          <c:showCatName val="0"/>
          <c:showSerName val="0"/>
          <c:showPercent val="0"/>
          <c:showBubbleSize val="0"/>
        </c:dLbls>
        <c:gapWidth val="219"/>
        <c:overlap val="-27"/>
        <c:axId val="844141600"/>
        <c:axId val="844142080"/>
      </c:barChart>
      <c:catAx>
        <c:axId val="84414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844142080"/>
        <c:crosses val="autoZero"/>
        <c:auto val="1"/>
        <c:lblAlgn val="ctr"/>
        <c:lblOffset val="100"/>
        <c:noMultiLvlLbl val="0"/>
      </c:catAx>
      <c:valAx>
        <c:axId val="8441420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84414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portfolio.xlsx]Performance Rating Distribution!PivotTable5</c:name>
    <c:fmtId val="8"/>
  </c:pivotSource>
  <c:chart>
    <c:title>
      <c:tx>
        <c:rich>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r>
              <a:rPr lang="en-US" sz="1400" b="1" i="0" u="none" strike="noStrike" baseline="0"/>
              <a:t>Performance Rating Distribution</a:t>
            </a:r>
            <a:endParaRPr lang="en-US" b="1">
              <a:solidFill>
                <a:schemeClr val="bg2"/>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bg2"/>
              </a:solidFill>
              <a:latin typeface="+mn-lt"/>
              <a:ea typeface="+mn-ea"/>
              <a:cs typeface="+mn-cs"/>
            </a:defRPr>
          </a:pPr>
          <a:endParaRPr lang="en-US"/>
        </a:p>
      </c:txPr>
    </c:title>
    <c:autoTitleDeleted val="0"/>
    <c:pivotFmts>
      <c:pivotFmt>
        <c:idx val="0"/>
        <c:spPr>
          <a:solidFill>
            <a:schemeClr val="bg2"/>
          </a:solidFill>
          <a:ln>
            <a:noFill/>
          </a:ln>
          <a:effectLst/>
          <a:scene3d>
            <a:camera prst="orthographicFront"/>
            <a:lightRig rig="threePt" dir="t"/>
          </a:scene3d>
          <a:sp3d>
            <a:bevelT w="1016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a:scene3d>
            <a:camera prst="orthographicFront"/>
            <a:lightRig rig="threePt" dir="t"/>
          </a:scene3d>
          <a:sp3d>
            <a:bevelT w="1016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a:scene3d>
            <a:camera prst="orthographicFront"/>
            <a:lightRig rig="threePt" dir="t"/>
          </a:scene3d>
          <a:sp3d>
            <a:bevelT w="101600" prst="ribl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cene3d>
          <a:camera prst="orthographicFront"/>
          <a:lightRig rig="threePt" dir="t"/>
        </a:scene3d>
        <a:sp3d>
          <a:bevelT prst="relaxedInset"/>
        </a:sp3d>
      </c:spPr>
    </c:backWall>
    <c:plotArea>
      <c:layout/>
      <c:bar3DChart>
        <c:barDir val="bar"/>
        <c:grouping val="stacked"/>
        <c:varyColors val="0"/>
        <c:ser>
          <c:idx val="0"/>
          <c:order val="0"/>
          <c:tx>
            <c:strRef>
              <c:f>'Performance Rating Distribution'!$B$3</c:f>
              <c:strCache>
                <c:ptCount val="1"/>
                <c:pt idx="0">
                  <c:v>Total</c:v>
                </c:pt>
              </c:strCache>
            </c:strRef>
          </c:tx>
          <c:spPr>
            <a:solidFill>
              <a:schemeClr val="bg2"/>
            </a:solidFill>
            <a:ln>
              <a:noFill/>
            </a:ln>
            <a:effectLst/>
            <a:scene3d>
              <a:camera prst="orthographicFront"/>
              <a:lightRig rig="threePt" dir="t"/>
            </a:scene3d>
            <a:sp3d>
              <a:bevelT w="101600" prst="ribl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'Performance Rating Distribution'!$A$4:$A$9</c:f>
              <c:strCache>
                <c:ptCount val="5"/>
                <c:pt idx="0">
                  <c:v>1</c:v>
                </c:pt>
                <c:pt idx="1">
                  <c:v>2</c:v>
                </c:pt>
                <c:pt idx="2">
                  <c:v>3</c:v>
                </c:pt>
                <c:pt idx="3">
                  <c:v>4</c:v>
                </c:pt>
                <c:pt idx="4">
                  <c:v>5</c:v>
                </c:pt>
              </c:strCache>
            </c:strRef>
          </c:cat>
          <c:val>
            <c:numRef>
              <c:f>'Performance Rating Distribution'!$B$4:$B$9</c:f>
              <c:numCache>
                <c:formatCode>General</c:formatCode>
                <c:ptCount val="5"/>
                <c:pt idx="0">
                  <c:v>11</c:v>
                </c:pt>
                <c:pt idx="1">
                  <c:v>11</c:v>
                </c:pt>
                <c:pt idx="2">
                  <c:v>12</c:v>
                </c:pt>
                <c:pt idx="3">
                  <c:v>10</c:v>
                </c:pt>
                <c:pt idx="4">
                  <c:v>6</c:v>
                </c:pt>
              </c:numCache>
            </c:numRef>
          </c:val>
          <c:extLst>
            <c:ext xmlns:c16="http://schemas.microsoft.com/office/drawing/2014/chart" uri="{C3380CC4-5D6E-409C-BE32-E72D297353CC}">
              <c16:uniqueId val="{00000000-0F0B-4982-8717-902E590F68B2}"/>
            </c:ext>
          </c:extLst>
        </c:ser>
        <c:dLbls>
          <c:showLegendKey val="0"/>
          <c:showVal val="1"/>
          <c:showCatName val="0"/>
          <c:showSerName val="0"/>
          <c:showPercent val="0"/>
          <c:showBubbleSize val="0"/>
        </c:dLbls>
        <c:gapWidth val="150"/>
        <c:shape val="box"/>
        <c:axId val="1082265616"/>
        <c:axId val="1082266096"/>
        <c:axId val="0"/>
      </c:bar3DChart>
      <c:catAx>
        <c:axId val="1082265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82266096"/>
        <c:crosses val="autoZero"/>
        <c:auto val="1"/>
        <c:lblAlgn val="ctr"/>
        <c:lblOffset val="100"/>
        <c:noMultiLvlLbl val="0"/>
      </c:catAx>
      <c:valAx>
        <c:axId val="1082266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8226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8" Type="http://schemas.openxmlformats.org/officeDocument/2006/relationships/image" Target="../media/image5.jpeg"/><Relationship Id="rId3" Type="http://schemas.openxmlformats.org/officeDocument/2006/relationships/chart" Target="../charts/chart6.xml"/><Relationship Id="rId7" Type="http://schemas.openxmlformats.org/officeDocument/2006/relationships/chart" Target="../charts/chart8.xml"/><Relationship Id="rId12"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g"/><Relationship Id="rId6" Type="http://schemas.openxmlformats.org/officeDocument/2006/relationships/image" Target="../media/image4.jpeg"/><Relationship Id="rId11" Type="http://schemas.openxmlformats.org/officeDocument/2006/relationships/chart" Target="../charts/chart10.xml"/><Relationship Id="rId5" Type="http://schemas.openxmlformats.org/officeDocument/2006/relationships/chart" Target="../charts/chart7.xml"/><Relationship Id="rId10" Type="http://schemas.openxmlformats.org/officeDocument/2006/relationships/image" Target="../media/image6.jpeg"/><Relationship Id="rId4" Type="http://schemas.openxmlformats.org/officeDocument/2006/relationships/image" Target="../media/image3.jpeg"/><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447675</xdr:colOff>
      <xdr:row>1</xdr:row>
      <xdr:rowOff>71437</xdr:rowOff>
    </xdr:from>
    <xdr:to>
      <xdr:col>12</xdr:col>
      <xdr:colOff>142875</xdr:colOff>
      <xdr:row>15</xdr:row>
      <xdr:rowOff>147637</xdr:rowOff>
    </xdr:to>
    <xdr:graphicFrame macro="">
      <xdr:nvGraphicFramePr>
        <xdr:cNvPr id="2" name="Chart 1">
          <a:extLst>
            <a:ext uri="{FF2B5EF4-FFF2-40B4-BE49-F238E27FC236}">
              <a16:creationId xmlns:a16="http://schemas.microsoft.com/office/drawing/2014/main" id="{4785B464-5BDD-C442-AF88-0D34BED0B0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85725</xdr:colOff>
      <xdr:row>3</xdr:row>
      <xdr:rowOff>33337</xdr:rowOff>
    </xdr:from>
    <xdr:to>
      <xdr:col>12</xdr:col>
      <xdr:colOff>390525</xdr:colOff>
      <xdr:row>17</xdr:row>
      <xdr:rowOff>109537</xdr:rowOff>
    </xdr:to>
    <xdr:graphicFrame macro="">
      <xdr:nvGraphicFramePr>
        <xdr:cNvPr id="3" name="Chart 2">
          <a:extLst>
            <a:ext uri="{FF2B5EF4-FFF2-40B4-BE49-F238E27FC236}">
              <a16:creationId xmlns:a16="http://schemas.microsoft.com/office/drawing/2014/main" id="{ADB4557F-4904-94B1-224C-460AF7CD24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295275</xdr:colOff>
      <xdr:row>2</xdr:row>
      <xdr:rowOff>109537</xdr:rowOff>
    </xdr:from>
    <xdr:to>
      <xdr:col>11</xdr:col>
      <xdr:colOff>600075</xdr:colOff>
      <xdr:row>16</xdr:row>
      <xdr:rowOff>185737</xdr:rowOff>
    </xdr:to>
    <xdr:graphicFrame macro="">
      <xdr:nvGraphicFramePr>
        <xdr:cNvPr id="2" name="Chart 1">
          <a:extLst>
            <a:ext uri="{FF2B5EF4-FFF2-40B4-BE49-F238E27FC236}">
              <a16:creationId xmlns:a16="http://schemas.microsoft.com/office/drawing/2014/main" id="{7A3F5C49-AD6C-268A-5C66-25B885BC96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38100</xdr:colOff>
      <xdr:row>2</xdr:row>
      <xdr:rowOff>157162</xdr:rowOff>
    </xdr:from>
    <xdr:to>
      <xdr:col>11</xdr:col>
      <xdr:colOff>342900</xdr:colOff>
      <xdr:row>17</xdr:row>
      <xdr:rowOff>42862</xdr:rowOff>
    </xdr:to>
    <xdr:graphicFrame macro="">
      <xdr:nvGraphicFramePr>
        <xdr:cNvPr id="3" name="Chart 2">
          <a:extLst>
            <a:ext uri="{FF2B5EF4-FFF2-40B4-BE49-F238E27FC236}">
              <a16:creationId xmlns:a16="http://schemas.microsoft.com/office/drawing/2014/main" id="{2EFE4D26-7F35-83E9-E2A4-47A0C6F71D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542925</xdr:colOff>
      <xdr:row>2</xdr:row>
      <xdr:rowOff>42862</xdr:rowOff>
    </xdr:from>
    <xdr:to>
      <xdr:col>12</xdr:col>
      <xdr:colOff>238125</xdr:colOff>
      <xdr:row>16</xdr:row>
      <xdr:rowOff>119062</xdr:rowOff>
    </xdr:to>
    <xdr:graphicFrame macro="">
      <xdr:nvGraphicFramePr>
        <xdr:cNvPr id="2" name="Chart 1">
          <a:extLst>
            <a:ext uri="{FF2B5EF4-FFF2-40B4-BE49-F238E27FC236}">
              <a16:creationId xmlns:a16="http://schemas.microsoft.com/office/drawing/2014/main" id="{F644524B-C8EC-AF97-6BFE-88689129DD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35</xdr:col>
      <xdr:colOff>444499</xdr:colOff>
      <xdr:row>42</xdr:row>
      <xdr:rowOff>169332</xdr:rowOff>
    </xdr:to>
    <xdr:sp macro="" textlink="">
      <xdr:nvSpPr>
        <xdr:cNvPr id="3" name="Rectangle 2" descr="Hippopotamus head peeping out of the water">
          <a:extLst>
            <a:ext uri="{FF2B5EF4-FFF2-40B4-BE49-F238E27FC236}">
              <a16:creationId xmlns:a16="http://schemas.microsoft.com/office/drawing/2014/main" id="{A370D04C-50FC-540B-90E3-BE91162C7638}"/>
            </a:ext>
          </a:extLst>
        </xdr:cNvPr>
        <xdr:cNvSpPr/>
      </xdr:nvSpPr>
      <xdr:spPr>
        <a:xfrm>
          <a:off x="0" y="0"/>
          <a:ext cx="21928666" cy="8170332"/>
        </a:xfrm>
        <a:prstGeom prst="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1</xdr:rowOff>
    </xdr:from>
    <xdr:to>
      <xdr:col>27</xdr:col>
      <xdr:colOff>381000</xdr:colOff>
      <xdr:row>3</xdr:row>
      <xdr:rowOff>133351</xdr:rowOff>
    </xdr:to>
    <xdr:sp macro="" textlink="">
      <xdr:nvSpPr>
        <xdr:cNvPr id="4" name="Rectangle 3" descr="Hippopotamus head peeping out of the water">
          <a:extLst>
            <a:ext uri="{FF2B5EF4-FFF2-40B4-BE49-F238E27FC236}">
              <a16:creationId xmlns:a16="http://schemas.microsoft.com/office/drawing/2014/main" id="{7529C930-8343-4817-11F5-DE65CBD97F85}"/>
            </a:ext>
          </a:extLst>
        </xdr:cNvPr>
        <xdr:cNvSpPr/>
      </xdr:nvSpPr>
      <xdr:spPr>
        <a:xfrm>
          <a:off x="0" y="1"/>
          <a:ext cx="16954500" cy="704850"/>
        </a:xfrm>
        <a:prstGeom prst="rect">
          <a:avLst/>
        </a:prstGeom>
        <a:blipFill dpi="0" rotWithShape="1">
          <a:blip xmlns:r="http://schemas.openxmlformats.org/officeDocument/2006/relationships" r:embed="rId1">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i="1"/>
            <a:t>Workforce Analytics Dashboard</a:t>
          </a:r>
        </a:p>
      </xdr:txBody>
    </xdr:sp>
    <xdr:clientData/>
  </xdr:twoCellAnchor>
  <xdr:twoCellAnchor>
    <xdr:from>
      <xdr:col>0</xdr:col>
      <xdr:colOff>57150</xdr:colOff>
      <xdr:row>4</xdr:row>
      <xdr:rowOff>171450</xdr:rowOff>
    </xdr:from>
    <xdr:to>
      <xdr:col>7</xdr:col>
      <xdr:colOff>571500</xdr:colOff>
      <xdr:row>16</xdr:row>
      <xdr:rowOff>123825</xdr:rowOff>
    </xdr:to>
    <xdr:sp macro="" textlink="">
      <xdr:nvSpPr>
        <xdr:cNvPr id="5" name="Rectangle 4" descr="Hippopotamus head peeping out of the water">
          <a:extLst>
            <a:ext uri="{FF2B5EF4-FFF2-40B4-BE49-F238E27FC236}">
              <a16:creationId xmlns:a16="http://schemas.microsoft.com/office/drawing/2014/main" id="{7A13FD59-E8ED-DDDB-E2A4-BEA3D88AB8D7}"/>
            </a:ext>
          </a:extLst>
        </xdr:cNvPr>
        <xdr:cNvSpPr/>
      </xdr:nvSpPr>
      <xdr:spPr>
        <a:xfrm>
          <a:off x="57150" y="933450"/>
          <a:ext cx="4781550" cy="2238375"/>
        </a:xfrm>
        <a:prstGeom prst="rect">
          <a:avLst/>
        </a:prstGeom>
        <a:blipFill dpi="0" rotWithShape="1">
          <a:blip xmlns:r="http://schemas.openxmlformats.org/officeDocument/2006/relationships" r:embed="rId2"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190499</xdr:colOff>
      <xdr:row>5</xdr:row>
      <xdr:rowOff>66673</xdr:rowOff>
    </xdr:from>
    <xdr:to>
      <xdr:col>7</xdr:col>
      <xdr:colOff>447675</xdr:colOff>
      <xdr:row>16</xdr:row>
      <xdr:rowOff>66674</xdr:rowOff>
    </xdr:to>
    <xdr:graphicFrame macro="">
      <xdr:nvGraphicFramePr>
        <xdr:cNvPr id="7" name="Chart 6">
          <a:extLst>
            <a:ext uri="{FF2B5EF4-FFF2-40B4-BE49-F238E27FC236}">
              <a16:creationId xmlns:a16="http://schemas.microsoft.com/office/drawing/2014/main" id="{DEC814A5-8C6D-4399-84E5-F9797373B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571500</xdr:colOff>
      <xdr:row>5</xdr:row>
      <xdr:rowOff>9525</xdr:rowOff>
    </xdr:from>
    <xdr:to>
      <xdr:col>14</xdr:col>
      <xdr:colOff>523875</xdr:colOff>
      <xdr:row>17</xdr:row>
      <xdr:rowOff>142875</xdr:rowOff>
    </xdr:to>
    <xdr:sp macro="" textlink="">
      <xdr:nvSpPr>
        <xdr:cNvPr id="8" name="Rectangle 7" descr="Hippopotamus head peeping out of the water">
          <a:extLst>
            <a:ext uri="{FF2B5EF4-FFF2-40B4-BE49-F238E27FC236}">
              <a16:creationId xmlns:a16="http://schemas.microsoft.com/office/drawing/2014/main" id="{A6BFCF4C-4AAC-44E4-BD9F-43214A958562}"/>
            </a:ext>
          </a:extLst>
        </xdr:cNvPr>
        <xdr:cNvSpPr/>
      </xdr:nvSpPr>
      <xdr:spPr>
        <a:xfrm>
          <a:off x="5448300" y="962025"/>
          <a:ext cx="3609975" cy="2419350"/>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76200</xdr:colOff>
      <xdr:row>5</xdr:row>
      <xdr:rowOff>57150</xdr:rowOff>
    </xdr:from>
    <xdr:to>
      <xdr:col>14</xdr:col>
      <xdr:colOff>419100</xdr:colOff>
      <xdr:row>17</xdr:row>
      <xdr:rowOff>104775</xdr:rowOff>
    </xdr:to>
    <xdr:graphicFrame macro="">
      <xdr:nvGraphicFramePr>
        <xdr:cNvPr id="9" name="Chart 8">
          <a:extLst>
            <a:ext uri="{FF2B5EF4-FFF2-40B4-BE49-F238E27FC236}">
              <a16:creationId xmlns:a16="http://schemas.microsoft.com/office/drawing/2014/main" id="{DB6F1DC7-8F56-46F9-8ABB-D0EDE72455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238125</xdr:colOff>
      <xdr:row>5</xdr:row>
      <xdr:rowOff>0</xdr:rowOff>
    </xdr:from>
    <xdr:to>
      <xdr:col>21</xdr:col>
      <xdr:colOff>200025</xdr:colOff>
      <xdr:row>16</xdr:row>
      <xdr:rowOff>19050</xdr:rowOff>
    </xdr:to>
    <xdr:sp macro="" textlink="">
      <xdr:nvSpPr>
        <xdr:cNvPr id="10" name="Rectangle 9" descr="Hippopotamus head peeping out of the water">
          <a:extLst>
            <a:ext uri="{FF2B5EF4-FFF2-40B4-BE49-F238E27FC236}">
              <a16:creationId xmlns:a16="http://schemas.microsoft.com/office/drawing/2014/main" id="{7A9E065A-B4EA-4D41-9B93-BF8CE7E8C5CD}"/>
            </a:ext>
          </a:extLst>
        </xdr:cNvPr>
        <xdr:cNvSpPr/>
      </xdr:nvSpPr>
      <xdr:spPr>
        <a:xfrm>
          <a:off x="9382125" y="952500"/>
          <a:ext cx="3619500" cy="2114550"/>
        </a:xfrm>
        <a:prstGeom prst="rect">
          <a:avLst/>
        </a:prstGeom>
        <a:blipFill dpi="0" rotWithShape="1">
          <a:blip xmlns:r="http://schemas.openxmlformats.org/officeDocument/2006/relationships" r:embed="rId6"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342900</xdr:colOff>
      <xdr:row>5</xdr:row>
      <xdr:rowOff>152400</xdr:rowOff>
    </xdr:from>
    <xdr:to>
      <xdr:col>21</xdr:col>
      <xdr:colOff>45720</xdr:colOff>
      <xdr:row>15</xdr:row>
      <xdr:rowOff>76200</xdr:rowOff>
    </xdr:to>
    <xdr:graphicFrame macro="">
      <xdr:nvGraphicFramePr>
        <xdr:cNvPr id="11" name="Chart 10">
          <a:extLst>
            <a:ext uri="{FF2B5EF4-FFF2-40B4-BE49-F238E27FC236}">
              <a16:creationId xmlns:a16="http://schemas.microsoft.com/office/drawing/2014/main" id="{D63D35B8-81D6-49A9-AD18-260188B9CB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342900</xdr:colOff>
      <xdr:row>17</xdr:row>
      <xdr:rowOff>28575</xdr:rowOff>
    </xdr:from>
    <xdr:to>
      <xdr:col>7</xdr:col>
      <xdr:colOff>104776</xdr:colOff>
      <xdr:row>29</xdr:row>
      <xdr:rowOff>123825</xdr:rowOff>
    </xdr:to>
    <xdr:sp macro="" textlink="">
      <xdr:nvSpPr>
        <xdr:cNvPr id="12" name="Rectangle 11" descr="Hippopotamus head peeping out of the water">
          <a:extLst>
            <a:ext uri="{FF2B5EF4-FFF2-40B4-BE49-F238E27FC236}">
              <a16:creationId xmlns:a16="http://schemas.microsoft.com/office/drawing/2014/main" id="{ABC76E23-1929-4DE4-BBC4-CEE11AFD3828}"/>
            </a:ext>
          </a:extLst>
        </xdr:cNvPr>
        <xdr:cNvSpPr/>
      </xdr:nvSpPr>
      <xdr:spPr>
        <a:xfrm>
          <a:off x="342900" y="3267075"/>
          <a:ext cx="4029076" cy="2381250"/>
        </a:xfrm>
        <a:prstGeom prst="rect">
          <a:avLst/>
        </a:prstGeom>
        <a:blipFill dpi="0" rotWithShape="1">
          <a:blip xmlns:r="http://schemas.openxmlformats.org/officeDocument/2006/relationships" r:embed="rId8"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504825</xdr:colOff>
      <xdr:row>17</xdr:row>
      <xdr:rowOff>152400</xdr:rowOff>
    </xdr:from>
    <xdr:to>
      <xdr:col>6</xdr:col>
      <xdr:colOff>533400</xdr:colOff>
      <xdr:row>29</xdr:row>
      <xdr:rowOff>9525</xdr:rowOff>
    </xdr:to>
    <xdr:graphicFrame macro="">
      <xdr:nvGraphicFramePr>
        <xdr:cNvPr id="13" name="Chart 12">
          <a:extLst>
            <a:ext uri="{FF2B5EF4-FFF2-40B4-BE49-F238E27FC236}">
              <a16:creationId xmlns:a16="http://schemas.microsoft.com/office/drawing/2014/main" id="{8535BEF8-A882-4E41-828E-739C5B462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19050</xdr:colOff>
      <xdr:row>18</xdr:row>
      <xdr:rowOff>142875</xdr:rowOff>
    </xdr:from>
    <xdr:to>
      <xdr:col>15</xdr:col>
      <xdr:colOff>276225</xdr:colOff>
      <xdr:row>30</xdr:row>
      <xdr:rowOff>95250</xdr:rowOff>
    </xdr:to>
    <xdr:sp macro="" textlink="">
      <xdr:nvSpPr>
        <xdr:cNvPr id="14" name="Rectangle 13" descr="Hippopotamus head peeping out of the water">
          <a:extLst>
            <a:ext uri="{FF2B5EF4-FFF2-40B4-BE49-F238E27FC236}">
              <a16:creationId xmlns:a16="http://schemas.microsoft.com/office/drawing/2014/main" id="{DB315FEC-D386-4137-9B72-900594A8BC75}"/>
            </a:ext>
          </a:extLst>
        </xdr:cNvPr>
        <xdr:cNvSpPr/>
      </xdr:nvSpPr>
      <xdr:spPr>
        <a:xfrm>
          <a:off x="5505450" y="3571875"/>
          <a:ext cx="3914775" cy="2238375"/>
        </a:xfrm>
        <a:prstGeom prst="rect">
          <a:avLst/>
        </a:prstGeom>
        <a:blipFill dpi="0" rotWithShape="1">
          <a:blip xmlns:r="http://schemas.openxmlformats.org/officeDocument/2006/relationships" r:embed="rId10"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209550</xdr:colOff>
      <xdr:row>19</xdr:row>
      <xdr:rowOff>85725</xdr:rowOff>
    </xdr:from>
    <xdr:to>
      <xdr:col>15</xdr:col>
      <xdr:colOff>152400</xdr:colOff>
      <xdr:row>29</xdr:row>
      <xdr:rowOff>142875</xdr:rowOff>
    </xdr:to>
    <xdr:graphicFrame macro="">
      <xdr:nvGraphicFramePr>
        <xdr:cNvPr id="15" name="Chart 14">
          <a:extLst>
            <a:ext uri="{FF2B5EF4-FFF2-40B4-BE49-F238E27FC236}">
              <a16:creationId xmlns:a16="http://schemas.microsoft.com/office/drawing/2014/main" id="{0E2C571B-00D4-4664-9C25-FB191F2D1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520701</xdr:colOff>
      <xdr:row>17</xdr:row>
      <xdr:rowOff>132292</xdr:rowOff>
    </xdr:from>
    <xdr:to>
      <xdr:col>23</xdr:col>
      <xdr:colOff>137584</xdr:colOff>
      <xdr:row>27</xdr:row>
      <xdr:rowOff>169333</xdr:rowOff>
    </xdr:to>
    <xdr:sp macro="" textlink="">
      <xdr:nvSpPr>
        <xdr:cNvPr id="16" name="Rectangle 15" descr="Hippopotamus head peeping out of the water">
          <a:extLst>
            <a:ext uri="{FF2B5EF4-FFF2-40B4-BE49-F238E27FC236}">
              <a16:creationId xmlns:a16="http://schemas.microsoft.com/office/drawing/2014/main" id="{C3D911F7-6C64-496E-B32C-F1731CC8CE2B}"/>
            </a:ext>
          </a:extLst>
        </xdr:cNvPr>
        <xdr:cNvSpPr/>
      </xdr:nvSpPr>
      <xdr:spPr>
        <a:xfrm>
          <a:off x="9728201" y="3370792"/>
          <a:ext cx="4527550" cy="1942041"/>
        </a:xfrm>
        <a:prstGeom prst="rect">
          <a:avLst/>
        </a:prstGeom>
        <a:blipFill dpi="0" rotWithShape="1">
          <a:blip xmlns:r="http://schemas.openxmlformats.org/officeDocument/2006/relationships" r:embed="rId12"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592667</xdr:colOff>
      <xdr:row>18</xdr:row>
      <xdr:rowOff>102659</xdr:rowOff>
    </xdr:from>
    <xdr:to>
      <xdr:col>18</xdr:col>
      <xdr:colOff>264584</xdr:colOff>
      <xdr:row>27</xdr:row>
      <xdr:rowOff>74083</xdr:rowOff>
    </xdr:to>
    <mc:AlternateContent xmlns:mc="http://schemas.openxmlformats.org/markup-compatibility/2006" xmlns:a14="http://schemas.microsoft.com/office/drawing/2010/main">
      <mc:Choice Requires="a14">
        <xdr:graphicFrame macro="">
          <xdr:nvGraphicFramePr>
            <xdr:cNvPr id="17" name="Department">
              <a:extLst>
                <a:ext uri="{FF2B5EF4-FFF2-40B4-BE49-F238E27FC236}">
                  <a16:creationId xmlns:a16="http://schemas.microsoft.com/office/drawing/2014/main" id="{DC4F1D73-EC18-40EF-A210-CF84C7038A3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800167" y="3531659"/>
              <a:ext cx="1513417" cy="1685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285750</xdr:colOff>
      <xdr:row>18</xdr:row>
      <xdr:rowOff>84667</xdr:rowOff>
    </xdr:from>
    <xdr:to>
      <xdr:col>20</xdr:col>
      <xdr:colOff>328083</xdr:colOff>
      <xdr:row>23</xdr:row>
      <xdr:rowOff>10585</xdr:rowOff>
    </xdr:to>
    <mc:AlternateContent xmlns:mc="http://schemas.openxmlformats.org/markup-compatibility/2006" xmlns:a14="http://schemas.microsoft.com/office/drawing/2010/main">
      <mc:Choice Requires="a14">
        <xdr:graphicFrame macro="">
          <xdr:nvGraphicFramePr>
            <xdr:cNvPr id="18" name="Attrition">
              <a:extLst>
                <a:ext uri="{FF2B5EF4-FFF2-40B4-BE49-F238E27FC236}">
                  <a16:creationId xmlns:a16="http://schemas.microsoft.com/office/drawing/2014/main" id="{6C4ECD51-F991-5530-E3D9-71A6D3D08F74}"/>
                </a:ext>
              </a:extLst>
            </xdr:cNvPr>
            <xdr:cNvGraphicFramePr/>
          </xdr:nvGraphicFramePr>
          <xdr:xfrm>
            <a:off x="0" y="0"/>
            <a:ext cx="0" cy="0"/>
          </xdr:xfrm>
          <a:graphic>
            <a:graphicData uri="http://schemas.microsoft.com/office/drawing/2010/slicer">
              <sle:slicer xmlns:sle="http://schemas.microsoft.com/office/drawing/2010/slicer" name="Attrition"/>
            </a:graphicData>
          </a:graphic>
        </xdr:graphicFrame>
      </mc:Choice>
      <mc:Fallback xmlns="">
        <xdr:sp macro="" textlink="">
          <xdr:nvSpPr>
            <xdr:cNvPr id="0" name=""/>
            <xdr:cNvSpPr>
              <a:spLocks noTextEdit="1"/>
            </xdr:cNvSpPr>
          </xdr:nvSpPr>
          <xdr:spPr>
            <a:xfrm>
              <a:off x="11334750" y="3513667"/>
              <a:ext cx="1270000" cy="8784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402167</xdr:colOff>
      <xdr:row>18</xdr:row>
      <xdr:rowOff>74082</xdr:rowOff>
    </xdr:from>
    <xdr:to>
      <xdr:col>22</xdr:col>
      <xdr:colOff>476251</xdr:colOff>
      <xdr:row>24</xdr:row>
      <xdr:rowOff>105834</xdr:rowOff>
    </xdr:to>
    <mc:AlternateContent xmlns:mc="http://schemas.openxmlformats.org/markup-compatibility/2006" xmlns:a14="http://schemas.microsoft.com/office/drawing/2010/main">
      <mc:Choice Requires="a14">
        <xdr:graphicFrame macro="">
          <xdr:nvGraphicFramePr>
            <xdr:cNvPr id="19" name="Age Group">
              <a:extLst>
                <a:ext uri="{FF2B5EF4-FFF2-40B4-BE49-F238E27FC236}">
                  <a16:creationId xmlns:a16="http://schemas.microsoft.com/office/drawing/2014/main" id="{AC70AEDD-B577-ABEB-A530-CBC8190B4D74}"/>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mlns="">
        <xdr:sp macro="" textlink="">
          <xdr:nvSpPr>
            <xdr:cNvPr id="0" name=""/>
            <xdr:cNvSpPr>
              <a:spLocks noTextEdit="1"/>
            </xdr:cNvSpPr>
          </xdr:nvSpPr>
          <xdr:spPr>
            <a:xfrm>
              <a:off x="12678834" y="3503082"/>
              <a:ext cx="1301750" cy="11747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116416</xdr:colOff>
      <xdr:row>4</xdr:row>
      <xdr:rowOff>10583</xdr:rowOff>
    </xdr:from>
    <xdr:to>
      <xdr:col>26</xdr:col>
      <xdr:colOff>137582</xdr:colOff>
      <xdr:row>15</xdr:row>
      <xdr:rowOff>116417</xdr:rowOff>
    </xdr:to>
    <xdr:sp macro="" textlink="">
      <xdr:nvSpPr>
        <xdr:cNvPr id="23" name="Rectangle 22">
          <a:extLst>
            <a:ext uri="{FF2B5EF4-FFF2-40B4-BE49-F238E27FC236}">
              <a16:creationId xmlns:a16="http://schemas.microsoft.com/office/drawing/2014/main" id="{D92E0657-4251-609B-3EF9-EA7FCF31EA32}"/>
            </a:ext>
          </a:extLst>
        </xdr:cNvPr>
        <xdr:cNvSpPr/>
      </xdr:nvSpPr>
      <xdr:spPr>
        <a:xfrm>
          <a:off x="13620749" y="772583"/>
          <a:ext cx="2476500" cy="2201334"/>
        </a:xfrm>
        <a:prstGeom prst="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i="1">
              <a:solidFill>
                <a:schemeClr val="tx1"/>
              </a:solidFill>
            </a:rPr>
            <a:t>Key Insights:</a:t>
          </a:r>
        </a:p>
        <a:p>
          <a:pPr algn="l"/>
          <a:r>
            <a:rPr lang="en-US" b="1">
              <a:solidFill>
                <a:schemeClr val="tx1"/>
              </a:solidFill>
            </a:rPr>
            <a:t>Finance and HR have the highest number of employees, while IT has the lowest. Employee turnover is higher in HR and Sales, indicating possible job pressure. Most employees are from Adult and Senior groups, showing an experienced workforce. Sales and Marketing have higher income, likely due to incentives. Overall performance is average to good, but high turnover in some departments needs attention.</a:t>
          </a:r>
          <a:endParaRPr lang="en-US" sz="1100" b="1">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eikh Huzaifa" refreshedDate="46077.686803240744" createdVersion="8" refreshedVersion="8" minRefreshableVersion="3" recordCount="50" xr:uid="{4E722D37-7666-4E08-A580-02049FABBF2E}">
  <cacheSource type="worksheet">
    <worksheetSource name="Table1"/>
  </cacheSource>
  <cacheFields count="10">
    <cacheField name="Employee ID" numFmtId="0">
      <sharedItems containsSemiMixedTypes="0" containsString="0" containsNumber="1" containsInteger="1" minValue="1" maxValue="50"/>
    </cacheField>
    <cacheField name="Name" numFmtId="0">
      <sharedItems/>
    </cacheField>
    <cacheField name="Age" numFmtId="0">
      <sharedItems containsSemiMixedTypes="0" containsString="0" containsNumber="1" containsInteger="1" minValue="24" maxValue="44"/>
    </cacheField>
    <cacheField name="Age Group" numFmtId="0">
      <sharedItems count="3">
        <s v="Adult"/>
        <s v="Senior"/>
        <s v="Young"/>
      </sharedItems>
    </cacheField>
    <cacheField name="Department" numFmtId="0">
      <sharedItems count="5">
        <s v="HR"/>
        <s v="Finance"/>
        <s v="IT"/>
        <s v="Marketing"/>
        <s v="Sales"/>
      </sharedItems>
    </cacheField>
    <cacheField name="Job Role" numFmtId="0">
      <sharedItems/>
    </cacheField>
    <cacheField name="Monthly Income" numFmtId="0">
      <sharedItems containsSemiMixedTypes="0" containsString="0" containsNumber="1" containsInteger="1" minValue="30248" maxValue="118934"/>
    </cacheField>
    <cacheField name="Years at Company" numFmtId="0">
      <sharedItems containsSemiMixedTypes="0" containsString="0" containsNumber="1" containsInteger="1" minValue="1" maxValue="20"/>
    </cacheField>
    <cacheField name="Performance Rating" numFmtId="0">
      <sharedItems containsSemiMixedTypes="0" containsString="0" containsNumber="1" containsInteger="1" minValue="1" maxValue="5" count="5">
        <n v="3"/>
        <n v="5"/>
        <n v="1"/>
        <n v="4"/>
        <n v="2"/>
      </sharedItems>
    </cacheField>
    <cacheField name="Attrition" numFmtId="0">
      <sharedItems count="2">
        <s v="Yes"/>
        <s v="No"/>
      </sharedItems>
    </cacheField>
  </cacheFields>
  <extLst>
    <ext xmlns:x14="http://schemas.microsoft.com/office/spreadsheetml/2009/9/main" uri="{725AE2AE-9491-48be-B2B4-4EB974FC3084}">
      <x14:pivotCacheDefinition pivotCacheId="11570773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1"/>
    <s v="Ali Khan"/>
    <n v="33"/>
    <x v="0"/>
    <x v="0"/>
    <s v="HR Executive"/>
    <n v="39578"/>
    <n v="18"/>
    <x v="0"/>
    <x v="0"/>
  </r>
  <r>
    <n v="2"/>
    <s v="Ahmed Raza"/>
    <n v="39"/>
    <x v="1"/>
    <x v="1"/>
    <s v="Financial Analyst"/>
    <n v="47273"/>
    <n v="6"/>
    <x v="1"/>
    <x v="1"/>
  </r>
  <r>
    <n v="3"/>
    <s v="Usman Tariq"/>
    <n v="44"/>
    <x v="1"/>
    <x v="0"/>
    <s v="HR Executive"/>
    <n v="64699"/>
    <n v="7"/>
    <x v="2"/>
    <x v="1"/>
  </r>
  <r>
    <n v="4"/>
    <s v="Hassan Ali"/>
    <n v="40"/>
    <x v="1"/>
    <x v="1"/>
    <s v="Accountant"/>
    <n v="39445"/>
    <n v="8"/>
    <x v="1"/>
    <x v="0"/>
  </r>
  <r>
    <n v="5"/>
    <s v="Bilal Ahmed"/>
    <n v="34"/>
    <x v="0"/>
    <x v="2"/>
    <s v="Data Analyst"/>
    <n v="90446"/>
    <n v="7"/>
    <x v="2"/>
    <x v="1"/>
  </r>
  <r>
    <n v="6"/>
    <s v="Zain Malik"/>
    <n v="31"/>
    <x v="0"/>
    <x v="0"/>
    <s v="HR Manager"/>
    <n v="71753"/>
    <n v="14"/>
    <x v="0"/>
    <x v="0"/>
  </r>
  <r>
    <n v="7"/>
    <s v="Saad Qureshi"/>
    <n v="36"/>
    <x v="1"/>
    <x v="3"/>
    <s v="Marketing Manager"/>
    <n v="103810"/>
    <n v="3"/>
    <x v="3"/>
    <x v="0"/>
  </r>
  <r>
    <n v="8"/>
    <s v="Hamza Sheikh"/>
    <n v="28"/>
    <x v="0"/>
    <x v="1"/>
    <s v="Accountant"/>
    <n v="30248"/>
    <n v="20"/>
    <x v="0"/>
    <x v="1"/>
  </r>
  <r>
    <n v="9"/>
    <s v="Omar Farooq"/>
    <n v="26"/>
    <x v="2"/>
    <x v="1"/>
    <s v="Financial Analyst"/>
    <n v="53092"/>
    <n v="5"/>
    <x v="3"/>
    <x v="1"/>
  </r>
  <r>
    <n v="10"/>
    <s v="Talha Saeed"/>
    <n v="32"/>
    <x v="0"/>
    <x v="3"/>
    <s v="Marketing Executive"/>
    <n v="113380"/>
    <n v="18"/>
    <x v="1"/>
    <x v="0"/>
  </r>
  <r>
    <n v="11"/>
    <s v="Abdullah Noor"/>
    <n v="44"/>
    <x v="1"/>
    <x v="0"/>
    <s v="HR Manager"/>
    <n v="48706"/>
    <n v="10"/>
    <x v="4"/>
    <x v="0"/>
  </r>
  <r>
    <n v="12"/>
    <s v="Danish Iqbal"/>
    <n v="39"/>
    <x v="1"/>
    <x v="3"/>
    <s v="Marketing Executive"/>
    <n v="108944"/>
    <n v="1"/>
    <x v="0"/>
    <x v="0"/>
  </r>
  <r>
    <n v="13"/>
    <s v="Fahad Hussain"/>
    <n v="43"/>
    <x v="1"/>
    <x v="1"/>
    <s v="Financial Analyst"/>
    <n v="87900"/>
    <n v="17"/>
    <x v="1"/>
    <x v="1"/>
  </r>
  <r>
    <n v="14"/>
    <s v="Imran Shah"/>
    <n v="42"/>
    <x v="1"/>
    <x v="4"/>
    <s v="Sales Executive"/>
    <n v="50104"/>
    <n v="7"/>
    <x v="3"/>
    <x v="0"/>
  </r>
  <r>
    <n v="15"/>
    <s v="Adeel Akram"/>
    <n v="39"/>
    <x v="1"/>
    <x v="1"/>
    <s v="Financial Analyst"/>
    <n v="115753"/>
    <n v="2"/>
    <x v="4"/>
    <x v="0"/>
  </r>
  <r>
    <n v="16"/>
    <s v="Kashif Mehmood"/>
    <n v="42"/>
    <x v="1"/>
    <x v="1"/>
    <s v="Financial Analyst"/>
    <n v="115346"/>
    <n v="6"/>
    <x v="3"/>
    <x v="0"/>
  </r>
  <r>
    <n v="17"/>
    <s v="Rizwan Haider"/>
    <n v="26"/>
    <x v="2"/>
    <x v="1"/>
    <s v="Financial Analyst"/>
    <n v="98284"/>
    <n v="4"/>
    <x v="0"/>
    <x v="1"/>
  </r>
  <r>
    <n v="18"/>
    <s v="Shahzaib Ali"/>
    <n v="43"/>
    <x v="1"/>
    <x v="1"/>
    <s v="Accountant"/>
    <n v="102589"/>
    <n v="20"/>
    <x v="3"/>
    <x v="1"/>
  </r>
  <r>
    <n v="19"/>
    <s v="Yasir Khan"/>
    <n v="40"/>
    <x v="1"/>
    <x v="0"/>
    <s v="HR Manager"/>
    <n v="90588"/>
    <n v="14"/>
    <x v="2"/>
    <x v="1"/>
  </r>
  <r>
    <n v="20"/>
    <s v="Farhan Ali"/>
    <n v="32"/>
    <x v="0"/>
    <x v="0"/>
    <s v="HR Executive"/>
    <n v="111620"/>
    <n v="13"/>
    <x v="2"/>
    <x v="1"/>
  </r>
  <r>
    <n v="21"/>
    <s v="Mubashir Raza"/>
    <n v="41"/>
    <x v="1"/>
    <x v="4"/>
    <s v="Sales Executive"/>
    <n v="102729"/>
    <n v="16"/>
    <x v="3"/>
    <x v="1"/>
  </r>
  <r>
    <n v="22"/>
    <s v="Noman Ilyas"/>
    <n v="36"/>
    <x v="1"/>
    <x v="2"/>
    <s v="Software Developer"/>
    <n v="50665"/>
    <n v="8"/>
    <x v="3"/>
    <x v="0"/>
  </r>
  <r>
    <n v="23"/>
    <s v="Taha Ahmed"/>
    <n v="38"/>
    <x v="1"/>
    <x v="3"/>
    <s v="Marketing Manager"/>
    <n v="115847"/>
    <n v="13"/>
    <x v="0"/>
    <x v="1"/>
  </r>
  <r>
    <n v="24"/>
    <s v="Haris Javed"/>
    <n v="24"/>
    <x v="2"/>
    <x v="0"/>
    <s v="HR Manager"/>
    <n v="118179"/>
    <n v="18"/>
    <x v="2"/>
    <x v="0"/>
  </r>
  <r>
    <n v="25"/>
    <s v="Ibrahim Khalid"/>
    <n v="33"/>
    <x v="0"/>
    <x v="3"/>
    <s v="Marketing Executive"/>
    <n v="61473"/>
    <n v="16"/>
    <x v="2"/>
    <x v="1"/>
  </r>
  <r>
    <n v="26"/>
    <s v="Ahsan Rauf"/>
    <n v="39"/>
    <x v="1"/>
    <x v="3"/>
    <s v="Marketing Executive"/>
    <n v="109305"/>
    <n v="19"/>
    <x v="0"/>
    <x v="0"/>
  </r>
  <r>
    <n v="27"/>
    <s v="Waqar Ahmed"/>
    <n v="38"/>
    <x v="1"/>
    <x v="0"/>
    <s v="HR Executive"/>
    <n v="90699"/>
    <n v="9"/>
    <x v="2"/>
    <x v="1"/>
  </r>
  <r>
    <n v="28"/>
    <s v="Sami Ullah"/>
    <n v="41"/>
    <x v="1"/>
    <x v="1"/>
    <s v="Accountant"/>
    <n v="45153"/>
    <n v="15"/>
    <x v="0"/>
    <x v="1"/>
  </r>
  <r>
    <n v="29"/>
    <s v="Zohaib Khan"/>
    <n v="34"/>
    <x v="0"/>
    <x v="1"/>
    <s v="Financial Analyst"/>
    <n v="93468"/>
    <n v="15"/>
    <x v="2"/>
    <x v="0"/>
  </r>
  <r>
    <n v="30"/>
    <s v="Adnan Tariq"/>
    <n v="38"/>
    <x v="1"/>
    <x v="2"/>
    <s v="Software Developer"/>
    <n v="62136"/>
    <n v="2"/>
    <x v="4"/>
    <x v="0"/>
  </r>
  <r>
    <n v="31"/>
    <s v="Rehan Malik"/>
    <n v="44"/>
    <x v="1"/>
    <x v="4"/>
    <s v="Sales Manager"/>
    <n v="99699"/>
    <n v="3"/>
    <x v="1"/>
    <x v="0"/>
  </r>
  <r>
    <n v="32"/>
    <s v="Arslan Sheikh"/>
    <n v="28"/>
    <x v="0"/>
    <x v="4"/>
    <s v="Sales Executive"/>
    <n v="79077"/>
    <n v="10"/>
    <x v="3"/>
    <x v="0"/>
  </r>
  <r>
    <n v="33"/>
    <s v="Junaid Akhtar"/>
    <n v="43"/>
    <x v="1"/>
    <x v="0"/>
    <s v="HR Manager"/>
    <n v="40881"/>
    <n v="10"/>
    <x v="4"/>
    <x v="0"/>
  </r>
  <r>
    <n v="34"/>
    <s v="Kamran Ali"/>
    <n v="35"/>
    <x v="0"/>
    <x v="3"/>
    <s v="Marketing Manager"/>
    <n v="110723"/>
    <n v="14"/>
    <x v="4"/>
    <x v="0"/>
  </r>
  <r>
    <n v="35"/>
    <s v="Sufyan Ahmed"/>
    <n v="30"/>
    <x v="0"/>
    <x v="4"/>
    <s v="Sales Manager"/>
    <n v="108851"/>
    <n v="10"/>
    <x v="0"/>
    <x v="0"/>
  </r>
  <r>
    <n v="36"/>
    <s v="Shayan Raza"/>
    <n v="34"/>
    <x v="0"/>
    <x v="0"/>
    <s v="HR Executive"/>
    <n v="66325"/>
    <n v="9"/>
    <x v="3"/>
    <x v="0"/>
  </r>
  <r>
    <n v="37"/>
    <s v="Hammad Tariq"/>
    <n v="25"/>
    <x v="2"/>
    <x v="3"/>
    <s v="Marketing Manager"/>
    <n v="45768"/>
    <n v="1"/>
    <x v="2"/>
    <x v="0"/>
  </r>
  <r>
    <n v="38"/>
    <s v="Mudassir Ali"/>
    <n v="43"/>
    <x v="1"/>
    <x v="1"/>
    <s v="Financial Analyst"/>
    <n v="71442"/>
    <n v="14"/>
    <x v="4"/>
    <x v="0"/>
  </r>
  <r>
    <n v="39"/>
    <s v="Asad Mehmood"/>
    <n v="30"/>
    <x v="0"/>
    <x v="0"/>
    <s v="HR Executive"/>
    <n v="118934"/>
    <n v="10"/>
    <x v="4"/>
    <x v="0"/>
  </r>
  <r>
    <n v="40"/>
    <s v="Zubair Khan"/>
    <n v="40"/>
    <x v="1"/>
    <x v="0"/>
    <s v="HR Executive"/>
    <n v="44770"/>
    <n v="7"/>
    <x v="2"/>
    <x v="0"/>
  </r>
  <r>
    <n v="41"/>
    <s v="Salman Ahmed"/>
    <n v="33"/>
    <x v="0"/>
    <x v="4"/>
    <s v="Sales Executive"/>
    <n v="85332"/>
    <n v="6"/>
    <x v="2"/>
    <x v="0"/>
  </r>
  <r>
    <n v="42"/>
    <s v="Basit Ali"/>
    <n v="33"/>
    <x v="0"/>
    <x v="2"/>
    <s v="Software Developer"/>
    <n v="89914"/>
    <n v="4"/>
    <x v="0"/>
    <x v="0"/>
  </r>
  <r>
    <n v="43"/>
    <s v="Shariq Hussain"/>
    <n v="31"/>
    <x v="0"/>
    <x v="0"/>
    <s v="HR Executive"/>
    <n v="77722"/>
    <n v="4"/>
    <x v="0"/>
    <x v="0"/>
  </r>
  <r>
    <n v="44"/>
    <s v="Shahid Raza"/>
    <n v="36"/>
    <x v="1"/>
    <x v="2"/>
    <s v="Data Analyst"/>
    <n v="45155"/>
    <n v="12"/>
    <x v="4"/>
    <x v="1"/>
  </r>
  <r>
    <n v="45"/>
    <s v="Umair Khalid"/>
    <n v="43"/>
    <x v="1"/>
    <x v="3"/>
    <s v="Marketing Manager"/>
    <n v="40192"/>
    <n v="4"/>
    <x v="4"/>
    <x v="1"/>
  </r>
  <r>
    <n v="46"/>
    <s v="Naveed Ahmed"/>
    <n v="24"/>
    <x v="2"/>
    <x v="2"/>
    <s v="Data Analyst"/>
    <n v="93488"/>
    <n v="20"/>
    <x v="4"/>
    <x v="1"/>
  </r>
  <r>
    <n v="47"/>
    <s v="Qasim Ali"/>
    <n v="35"/>
    <x v="0"/>
    <x v="4"/>
    <s v="Sales Executive"/>
    <n v="116777"/>
    <n v="13"/>
    <x v="0"/>
    <x v="0"/>
  </r>
  <r>
    <n v="48"/>
    <s v="Shakir Hussain"/>
    <n v="30"/>
    <x v="0"/>
    <x v="1"/>
    <s v="Financial Analyst"/>
    <n v="59675"/>
    <n v="11"/>
    <x v="3"/>
    <x v="1"/>
  </r>
  <r>
    <n v="49"/>
    <s v="Waqas Ahmed"/>
    <n v="29"/>
    <x v="0"/>
    <x v="1"/>
    <s v="Financial Analyst"/>
    <n v="55485"/>
    <n v="10"/>
    <x v="1"/>
    <x v="1"/>
  </r>
  <r>
    <n v="50"/>
    <s v="Shoaib Malik"/>
    <n v="29"/>
    <x v="0"/>
    <x v="1"/>
    <s v="Accountant"/>
    <n v="95165"/>
    <n v="8"/>
    <x v="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7D6A64-6CC7-48D5-BE3F-16D82C167F8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9" firstHeaderRow="1" firstDataRow="1" firstDataCol="1"/>
  <pivotFields count="10">
    <pivotField dataField="1" showAll="0"/>
    <pivotField showAll="0"/>
    <pivotField showAll="0"/>
    <pivotField showAll="0">
      <items count="4">
        <item x="0"/>
        <item x="1"/>
        <item x="2"/>
        <item t="default"/>
      </items>
    </pivotField>
    <pivotField axis="axisRow" showAll="0">
      <items count="6">
        <item x="1"/>
        <item x="0"/>
        <item x="2"/>
        <item x="3"/>
        <item x="4"/>
        <item t="default"/>
      </items>
    </pivotField>
    <pivotField showAll="0"/>
    <pivotField showAll="0"/>
    <pivotField showAll="0"/>
    <pivotField showAll="0"/>
    <pivotField showAll="0">
      <items count="3">
        <item x="1"/>
        <item x="0"/>
        <item t="default"/>
      </items>
    </pivotField>
  </pivotFields>
  <rowFields count="1">
    <field x="4"/>
  </rowFields>
  <rowItems count="6">
    <i>
      <x/>
    </i>
    <i>
      <x v="1"/>
    </i>
    <i>
      <x v="2"/>
    </i>
    <i>
      <x v="3"/>
    </i>
    <i>
      <x v="4"/>
    </i>
    <i t="grand">
      <x/>
    </i>
  </rowItems>
  <colItems count="1">
    <i/>
  </colItems>
  <dataFields count="1">
    <dataField name="Count of Employee ID" fld="0" subtotal="count" baseField="4"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2"/>
          </reference>
        </references>
      </pivotArea>
    </chartFormat>
    <chartFormat chart="0" format="2">
      <pivotArea type="data" outline="0" fieldPosition="0">
        <references count="2">
          <reference field="4294967294" count="1" selected="0">
            <x v="0"/>
          </reference>
          <reference field="4" count="1" selected="0">
            <x v="3"/>
          </reference>
        </references>
      </pivotArea>
    </chartFormat>
    <chartFormat chart="0" format="3">
      <pivotArea type="data" outline="0" fieldPosition="0">
        <references count="2">
          <reference field="4294967294" count="1" selected="0">
            <x v="0"/>
          </reference>
          <reference field="4" count="1" selected="0">
            <x v="4"/>
          </reference>
        </references>
      </pivotArea>
    </chartFormat>
    <chartFormat chart="0" format="4">
      <pivotArea type="data" outline="0" fieldPosition="0">
        <references count="2">
          <reference field="4294967294" count="1" selected="0">
            <x v="0"/>
          </reference>
          <reference field="4" count="1" selected="0">
            <x v="1"/>
          </reference>
        </references>
      </pivotArea>
    </chartFormat>
    <chartFormat chart="0" format="5">
      <pivotArea type="data" outline="0" fieldPosition="0">
        <references count="2">
          <reference field="4294967294" count="1" selected="0">
            <x v="0"/>
          </reference>
          <reference field="4" count="1" selected="0">
            <x v="0"/>
          </reference>
        </references>
      </pivotArea>
    </chartFormat>
    <chartFormat chart="23" format="12" series="1">
      <pivotArea type="data" outline="0" fieldPosition="0">
        <references count="1">
          <reference field="4294967294" count="1" selected="0">
            <x v="0"/>
          </reference>
        </references>
      </pivotArea>
    </chartFormat>
    <chartFormat chart="23" format="13">
      <pivotArea type="data" outline="0" fieldPosition="0">
        <references count="2">
          <reference field="4294967294" count="1" selected="0">
            <x v="0"/>
          </reference>
          <reference field="4" count="1" selected="0">
            <x v="0"/>
          </reference>
        </references>
      </pivotArea>
    </chartFormat>
    <chartFormat chart="23" format="14">
      <pivotArea type="data" outline="0" fieldPosition="0">
        <references count="2">
          <reference field="4294967294" count="1" selected="0">
            <x v="0"/>
          </reference>
          <reference field="4" count="1" selected="0">
            <x v="1"/>
          </reference>
        </references>
      </pivotArea>
    </chartFormat>
    <chartFormat chart="23" format="15">
      <pivotArea type="data" outline="0" fieldPosition="0">
        <references count="2">
          <reference field="4294967294" count="1" selected="0">
            <x v="0"/>
          </reference>
          <reference field="4" count="1" selected="0">
            <x v="2"/>
          </reference>
        </references>
      </pivotArea>
    </chartFormat>
    <chartFormat chart="23" format="16">
      <pivotArea type="data" outline="0" fieldPosition="0">
        <references count="2">
          <reference field="4294967294" count="1" selected="0">
            <x v="0"/>
          </reference>
          <reference field="4" count="1" selected="0">
            <x v="3"/>
          </reference>
        </references>
      </pivotArea>
    </chartFormat>
    <chartFormat chart="23"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ACDBC68-FD83-4A39-ADAA-FC9CE24A5FE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D24" firstHeaderRow="1" firstDataRow="2" firstDataCol="1"/>
  <pivotFields count="10">
    <pivotField dataField="1" showAll="0"/>
    <pivotField showAll="0"/>
    <pivotField showAll="0"/>
    <pivotField axis="axisRow" showAll="0">
      <items count="4">
        <item x="0"/>
        <item x="1"/>
        <item x="2"/>
        <item t="default"/>
      </items>
    </pivotField>
    <pivotField axis="axisRow" showAll="0">
      <items count="6">
        <item x="1"/>
        <item x="0"/>
        <item x="2"/>
        <item x="3"/>
        <item x="4"/>
        <item t="default"/>
      </items>
    </pivotField>
    <pivotField showAll="0"/>
    <pivotField showAll="0"/>
    <pivotField showAll="0"/>
    <pivotField showAll="0"/>
    <pivotField axis="axisCol" showAll="0">
      <items count="3">
        <item x="1"/>
        <item x="0"/>
        <item t="default"/>
      </items>
    </pivotField>
  </pivotFields>
  <rowFields count="2">
    <field x="4"/>
    <field x="3"/>
  </rowFields>
  <rowItems count="20">
    <i>
      <x/>
    </i>
    <i r="1">
      <x/>
    </i>
    <i r="1">
      <x v="1"/>
    </i>
    <i r="1">
      <x v="2"/>
    </i>
    <i>
      <x v="1"/>
    </i>
    <i r="1">
      <x/>
    </i>
    <i r="1">
      <x v="1"/>
    </i>
    <i r="1">
      <x v="2"/>
    </i>
    <i>
      <x v="2"/>
    </i>
    <i r="1">
      <x/>
    </i>
    <i r="1">
      <x v="1"/>
    </i>
    <i r="1">
      <x v="2"/>
    </i>
    <i>
      <x v="3"/>
    </i>
    <i r="1">
      <x/>
    </i>
    <i r="1">
      <x v="1"/>
    </i>
    <i r="1">
      <x v="2"/>
    </i>
    <i>
      <x v="4"/>
    </i>
    <i r="1">
      <x/>
    </i>
    <i r="1">
      <x v="1"/>
    </i>
    <i t="grand">
      <x/>
    </i>
  </rowItems>
  <colFields count="1">
    <field x="9"/>
  </colFields>
  <colItems count="3">
    <i>
      <x/>
    </i>
    <i>
      <x v="1"/>
    </i>
    <i t="grand">
      <x/>
    </i>
  </colItems>
  <dataFields count="1">
    <dataField name="Count of Employee ID" fld="0" subtotal="count" baseField="4" baseItem="0"/>
  </dataFields>
  <chartFormats count="6">
    <chartFormat chart="1" format="0" series="1">
      <pivotArea type="data" outline="0" fieldPosition="0">
        <references count="2">
          <reference field="4294967294" count="1" selected="0">
            <x v="0"/>
          </reference>
          <reference field="9" count="1" selected="0">
            <x v="0"/>
          </reference>
        </references>
      </pivotArea>
    </chartFormat>
    <chartFormat chart="1" format="1" series="1">
      <pivotArea type="data" outline="0" fieldPosition="0">
        <references count="2">
          <reference field="4294967294" count="1" selected="0">
            <x v="0"/>
          </reference>
          <reference field="9" count="1" selected="0">
            <x v="1"/>
          </reference>
        </references>
      </pivotArea>
    </chartFormat>
    <chartFormat chart="10" format="4" series="1">
      <pivotArea type="data" outline="0" fieldPosition="0">
        <references count="2">
          <reference field="4294967294" count="1" selected="0">
            <x v="0"/>
          </reference>
          <reference field="9" count="1" selected="0">
            <x v="0"/>
          </reference>
        </references>
      </pivotArea>
    </chartFormat>
    <chartFormat chart="10" format="5" series="1">
      <pivotArea type="data" outline="0" fieldPosition="0">
        <references count="2">
          <reference field="4294967294" count="1" selected="0">
            <x v="0"/>
          </reference>
          <reference field="9" count="1" selected="0">
            <x v="1"/>
          </reference>
        </references>
      </pivotArea>
    </chartFormat>
    <chartFormat chart="10"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BE117C-38F3-4BB6-B3CA-93BA430146B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10">
    <pivotField dataField="1" showAll="0"/>
    <pivotField showAll="0"/>
    <pivotField showAll="0"/>
    <pivotField axis="axisRow" showAll="0">
      <items count="4">
        <item x="0"/>
        <item x="1"/>
        <item x="2"/>
        <item t="default"/>
      </items>
    </pivotField>
    <pivotField showAll="0">
      <items count="6">
        <item x="1"/>
        <item x="0"/>
        <item x="2"/>
        <item x="3"/>
        <item x="4"/>
        <item t="default"/>
      </items>
    </pivotField>
    <pivotField showAll="0"/>
    <pivotField showAll="0"/>
    <pivotField showAll="0"/>
    <pivotField showAll="0"/>
    <pivotField showAll="0">
      <items count="3">
        <item x="1"/>
        <item x="0"/>
        <item t="default"/>
      </items>
    </pivotField>
  </pivotFields>
  <rowFields count="1">
    <field x="3"/>
  </rowFields>
  <rowItems count="4">
    <i>
      <x/>
    </i>
    <i>
      <x v="1"/>
    </i>
    <i>
      <x v="2"/>
    </i>
    <i t="grand">
      <x/>
    </i>
  </rowItems>
  <colItems count="1">
    <i/>
  </colItems>
  <dataFields count="1">
    <dataField name="Count of Employee ID" fld="0" subtotal="count" baseField="3"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3" count="1" selected="0">
            <x v="0"/>
          </reference>
        </references>
      </pivotArea>
    </chartFormat>
    <chartFormat chart="11" format="10">
      <pivotArea type="data" outline="0" fieldPosition="0">
        <references count="2">
          <reference field="4294967294" count="1" selected="0">
            <x v="0"/>
          </reference>
          <reference field="3" count="1" selected="0">
            <x v="1"/>
          </reference>
        </references>
      </pivotArea>
    </chartFormat>
    <chartFormat chart="11"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D17284-5186-48AD-9069-51F0264E4B9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0">
    <pivotField showAll="0"/>
    <pivotField showAll="0"/>
    <pivotField showAll="0"/>
    <pivotField showAll="0">
      <items count="4">
        <item x="0"/>
        <item x="1"/>
        <item x="2"/>
        <item t="default"/>
      </items>
    </pivotField>
    <pivotField axis="axisRow" showAll="0">
      <items count="6">
        <item x="1"/>
        <item x="0"/>
        <item x="2"/>
        <item x="3"/>
        <item x="4"/>
        <item t="default"/>
      </items>
    </pivotField>
    <pivotField showAll="0"/>
    <pivotField dataField="1" showAll="0"/>
    <pivotField showAll="0"/>
    <pivotField showAll="0"/>
    <pivotField showAll="0">
      <items count="3">
        <item x="1"/>
        <item x="0"/>
        <item t="default"/>
      </items>
    </pivotField>
  </pivotFields>
  <rowFields count="1">
    <field x="4"/>
  </rowFields>
  <rowItems count="6">
    <i>
      <x/>
    </i>
    <i>
      <x v="1"/>
    </i>
    <i>
      <x v="2"/>
    </i>
    <i>
      <x v="3"/>
    </i>
    <i>
      <x v="4"/>
    </i>
    <i t="grand">
      <x/>
    </i>
  </rowItems>
  <colItems count="1">
    <i/>
  </colItems>
  <dataFields count="1">
    <dataField name="Average of Monthly Income" fld="6" subtotal="average" baseField="4" baseItem="0" numFmtId="1"/>
  </dataFields>
  <formats count="1">
    <format dxfId="14">
      <pivotArea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2"/>
          </reference>
        </references>
      </pivotArea>
    </chartFormat>
    <chartFormat chart="1" format="1">
      <pivotArea type="data" outline="0" fieldPosition="0">
        <references count="2">
          <reference field="4294967294" count="1" selected="0">
            <x v="0"/>
          </reference>
          <reference field="4" count="1" selected="0">
            <x v="4"/>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300E4F-B5B9-4BB1-9E9B-A0FC208A4B6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10">
    <pivotField dataField="1" showAll="0"/>
    <pivotField showAll="0"/>
    <pivotField showAll="0"/>
    <pivotField showAll="0">
      <items count="4">
        <item x="0"/>
        <item x="1"/>
        <item x="2"/>
        <item t="default"/>
      </items>
    </pivotField>
    <pivotField showAll="0">
      <items count="6">
        <item x="1"/>
        <item x="0"/>
        <item x="2"/>
        <item x="3"/>
        <item x="4"/>
        <item t="default"/>
      </items>
    </pivotField>
    <pivotField showAll="0"/>
    <pivotField showAll="0"/>
    <pivotField showAll="0"/>
    <pivotField axis="axisRow" showAll="0">
      <items count="6">
        <item x="2"/>
        <item x="4"/>
        <item x="0"/>
        <item x="3"/>
        <item x="1"/>
        <item t="default"/>
      </items>
    </pivotField>
    <pivotField showAll="0">
      <items count="3">
        <item x="1"/>
        <item x="0"/>
        <item t="default"/>
      </items>
    </pivotField>
  </pivotFields>
  <rowFields count="1">
    <field x="8"/>
  </rowFields>
  <rowItems count="6">
    <i>
      <x/>
    </i>
    <i>
      <x v="1"/>
    </i>
    <i>
      <x v="2"/>
    </i>
    <i>
      <x v="3"/>
    </i>
    <i>
      <x v="4"/>
    </i>
    <i t="grand">
      <x/>
    </i>
  </rowItems>
  <colItems count="1">
    <i/>
  </colItems>
  <dataFields count="1">
    <dataField name="Count of Employee ID" fld="0" subtotal="count" baseField="8"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9E52AA2-8B91-41EE-9B1D-27A2EAFC3712}" sourceName="Department">
  <pivotTables>
    <pivotTable tabId="2" name="PivotTable1"/>
    <pivotTable tabId="4" name="PivotTable3"/>
    <pivotTable tabId="3" name="PivotTable2"/>
    <pivotTable tabId="5" name="PivotTable4"/>
    <pivotTable tabId="8" name="PivotTable5"/>
  </pivotTables>
  <data>
    <tabular pivotCacheId="1157077396">
      <items count="5">
        <i x="1" s="1"/>
        <i x="0"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rition" xr10:uid="{E05486CE-3AC9-4624-98F3-C5D812A3EF07}" sourceName="Attrition">
  <pivotTables>
    <pivotTable tabId="2" name="PivotTable1"/>
    <pivotTable tabId="4" name="PivotTable3"/>
    <pivotTable tabId="3" name="PivotTable2"/>
    <pivotTable tabId="5" name="PivotTable4"/>
    <pivotTable tabId="8" name="PivotTable5"/>
  </pivotTables>
  <data>
    <tabular pivotCacheId="115707739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B1A8894B-4DA6-4535-B281-3FF2B2A9EB6C}" sourceName="Age Group">
  <pivotTables>
    <pivotTable tabId="2" name="PivotTable1"/>
    <pivotTable tabId="4" name="PivotTable3"/>
    <pivotTable tabId="3" name="PivotTable2"/>
    <pivotTable tabId="5" name="PivotTable4"/>
    <pivotTable tabId="8" name="PivotTable5"/>
  </pivotTables>
  <data>
    <tabular pivotCacheId="1157077396">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0DAF142-CF3A-4312-B146-43B3D9E857D6}" cache="Slicer_Department" caption="Department" rowHeight="241300"/>
  <slicer name="Attrition" xr10:uid="{B4755045-48A8-4DF4-B440-CA9103E750D5}" cache="Slicer_Attrition" caption="Attrition" rowHeight="241300"/>
  <slicer name="Age Group" xr10:uid="{92C3E29F-4400-4AB1-ACA6-8A6F7DA613E1}" cache="Slicer_Age_Group" caption="Age Group"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6A39FC-E093-49D5-B7DD-3C1F8507A44F}" name="Table1" displayName="Table1" ref="A1:J51" totalsRowShown="0" headerRowDxfId="13" dataDxfId="12">
  <autoFilter ref="A1:J51" xr:uid="{C96A39FC-E093-49D5-B7DD-3C1F8507A44F}"/>
  <tableColumns count="10">
    <tableColumn id="1" xr3:uid="{65EB56AF-E2DF-4FAE-AECF-9A5DA03CC749}" name="Employee ID" dataDxfId="11"/>
    <tableColumn id="2" xr3:uid="{1681642D-40B6-4A84-948C-6ECC88E2606C}" name="Name" dataDxfId="10"/>
    <tableColumn id="3" xr3:uid="{BBA099A1-218A-4D69-9485-BCDF308B3CDB}" name="Age" dataDxfId="9"/>
    <tableColumn id="10" xr3:uid="{FABBA843-F09D-4E54-A025-C76FF8CDA133}" name="Age Group" dataDxfId="8">
      <calculatedColumnFormula>IF(C2&lt;=27,"Young",IF(C2&lt;=35,"Adult","Senior"))</calculatedColumnFormula>
    </tableColumn>
    <tableColumn id="4" xr3:uid="{90CC03D8-A37B-40B9-A174-23A5EB571428}" name="Department" dataDxfId="7"/>
    <tableColumn id="5" xr3:uid="{C4E79443-9F22-4C6B-8CCB-BA00E1765660}" name="Job Role" dataDxfId="6"/>
    <tableColumn id="6" xr3:uid="{2CA7DA74-0555-459D-BDCD-318834FAFC20}" name="Monthly Income" dataDxfId="5"/>
    <tableColumn id="7" xr3:uid="{A0EBDB7D-917D-4074-94D1-C8E4605A60FC}" name="Years at Company" dataDxfId="4"/>
    <tableColumn id="8" xr3:uid="{FCD7052E-FAFF-45E4-8DFC-8994560BA43C}" name="Performance Rating" dataDxfId="3"/>
    <tableColumn id="9" xr3:uid="{1211C0F9-588B-4BF5-A633-893CEDF23CEF}" name="Attrition"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68027-DB72-43E7-8CF5-26EF445D87A6}">
  <dimension ref="A3:B9"/>
  <sheetViews>
    <sheetView workbookViewId="0">
      <selection activeCell="P8" sqref="P8"/>
    </sheetView>
  </sheetViews>
  <sheetFormatPr defaultRowHeight="15" x14ac:dyDescent="0.25"/>
  <cols>
    <col min="1" max="1" width="13.140625" bestFit="1" customWidth="1"/>
    <col min="2" max="2" width="20.42578125" bestFit="1" customWidth="1"/>
  </cols>
  <sheetData>
    <row r="3" spans="1:2" x14ac:dyDescent="0.25">
      <c r="A3" s="2" t="s">
        <v>77</v>
      </c>
      <c r="B3" t="s">
        <v>79</v>
      </c>
    </row>
    <row r="4" spans="1:2" x14ac:dyDescent="0.25">
      <c r="A4" s="3" t="s">
        <v>14</v>
      </c>
      <c r="B4" s="6">
        <v>15</v>
      </c>
    </row>
    <row r="5" spans="1:2" x14ac:dyDescent="0.25">
      <c r="A5" s="3" t="s">
        <v>10</v>
      </c>
      <c r="B5" s="6">
        <v>13</v>
      </c>
    </row>
    <row r="6" spans="1:2" x14ac:dyDescent="0.25">
      <c r="A6" s="3" t="s">
        <v>21</v>
      </c>
      <c r="B6" s="6">
        <v>6</v>
      </c>
    </row>
    <row r="7" spans="1:2" x14ac:dyDescent="0.25">
      <c r="A7" s="3" t="s">
        <v>26</v>
      </c>
      <c r="B7" s="6">
        <v>9</v>
      </c>
    </row>
    <row r="8" spans="1:2" x14ac:dyDescent="0.25">
      <c r="A8" s="3" t="s">
        <v>36</v>
      </c>
      <c r="B8" s="6">
        <v>7</v>
      </c>
    </row>
    <row r="9" spans="1:2" x14ac:dyDescent="0.25">
      <c r="A9" s="3" t="s">
        <v>78</v>
      </c>
      <c r="B9" s="6">
        <v>50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2D9DA-D788-4B4B-B92A-EE017BBF1B53}">
  <dimension ref="A3:D24"/>
  <sheetViews>
    <sheetView workbookViewId="0">
      <selection activeCell="I23" sqref="I23"/>
    </sheetView>
  </sheetViews>
  <sheetFormatPr defaultRowHeight="15" x14ac:dyDescent="0.25"/>
  <cols>
    <col min="1" max="1" width="20.42578125" bestFit="1" customWidth="1"/>
    <col min="2" max="2" width="16.28515625" bestFit="1" customWidth="1"/>
    <col min="3" max="3" width="4.140625" bestFit="1" customWidth="1"/>
    <col min="4" max="4" width="11.28515625" bestFit="1" customWidth="1"/>
  </cols>
  <sheetData>
    <row r="3" spans="1:4" x14ac:dyDescent="0.25">
      <c r="A3" s="2" t="s">
        <v>79</v>
      </c>
      <c r="B3" s="2" t="s">
        <v>80</v>
      </c>
    </row>
    <row r="4" spans="1:4" x14ac:dyDescent="0.25">
      <c r="A4" s="2" t="s">
        <v>77</v>
      </c>
      <c r="B4" t="s">
        <v>16</v>
      </c>
      <c r="C4" t="s">
        <v>12</v>
      </c>
      <c r="D4" t="s">
        <v>78</v>
      </c>
    </row>
    <row r="5" spans="1:4" x14ac:dyDescent="0.25">
      <c r="A5" s="3" t="s">
        <v>14</v>
      </c>
      <c r="B5" s="6">
        <v>10</v>
      </c>
      <c r="C5" s="6">
        <v>5</v>
      </c>
      <c r="D5" s="6">
        <v>15</v>
      </c>
    </row>
    <row r="6" spans="1:4" x14ac:dyDescent="0.25">
      <c r="A6" s="4" t="s">
        <v>83</v>
      </c>
      <c r="B6" s="6">
        <v>4</v>
      </c>
      <c r="C6" s="6">
        <v>1</v>
      </c>
      <c r="D6" s="6">
        <v>5</v>
      </c>
    </row>
    <row r="7" spans="1:4" x14ac:dyDescent="0.25">
      <c r="A7" s="4" t="s">
        <v>84</v>
      </c>
      <c r="B7" s="6">
        <v>4</v>
      </c>
      <c r="C7" s="6">
        <v>4</v>
      </c>
      <c r="D7" s="6">
        <v>8</v>
      </c>
    </row>
    <row r="8" spans="1:4" x14ac:dyDescent="0.25">
      <c r="A8" s="4" t="s">
        <v>82</v>
      </c>
      <c r="B8" s="6">
        <v>2</v>
      </c>
      <c r="C8" s="6"/>
      <c r="D8" s="6">
        <v>2</v>
      </c>
    </row>
    <row r="9" spans="1:4" x14ac:dyDescent="0.25">
      <c r="A9" s="3" t="s">
        <v>10</v>
      </c>
      <c r="B9" s="6">
        <v>4</v>
      </c>
      <c r="C9" s="6">
        <v>9</v>
      </c>
      <c r="D9" s="6">
        <v>13</v>
      </c>
    </row>
    <row r="10" spans="1:4" x14ac:dyDescent="0.25">
      <c r="A10" s="4" t="s">
        <v>83</v>
      </c>
      <c r="B10" s="6">
        <v>1</v>
      </c>
      <c r="C10" s="6">
        <v>5</v>
      </c>
      <c r="D10" s="6">
        <v>6</v>
      </c>
    </row>
    <row r="11" spans="1:4" x14ac:dyDescent="0.25">
      <c r="A11" s="4" t="s">
        <v>84</v>
      </c>
      <c r="B11" s="6">
        <v>3</v>
      </c>
      <c r="C11" s="6">
        <v>3</v>
      </c>
      <c r="D11" s="6">
        <v>6</v>
      </c>
    </row>
    <row r="12" spans="1:4" x14ac:dyDescent="0.25">
      <c r="A12" s="4" t="s">
        <v>82</v>
      </c>
      <c r="B12" s="6"/>
      <c r="C12" s="6">
        <v>1</v>
      </c>
      <c r="D12" s="6">
        <v>1</v>
      </c>
    </row>
    <row r="13" spans="1:4" x14ac:dyDescent="0.25">
      <c r="A13" s="3" t="s">
        <v>21</v>
      </c>
      <c r="B13" s="6">
        <v>3</v>
      </c>
      <c r="C13" s="6">
        <v>3</v>
      </c>
      <c r="D13" s="6">
        <v>6</v>
      </c>
    </row>
    <row r="14" spans="1:4" x14ac:dyDescent="0.25">
      <c r="A14" s="4" t="s">
        <v>83</v>
      </c>
      <c r="B14" s="6">
        <v>1</v>
      </c>
      <c r="C14" s="6">
        <v>1</v>
      </c>
      <c r="D14" s="6">
        <v>2</v>
      </c>
    </row>
    <row r="15" spans="1:4" x14ac:dyDescent="0.25">
      <c r="A15" s="4" t="s">
        <v>84</v>
      </c>
      <c r="B15" s="6">
        <v>1</v>
      </c>
      <c r="C15" s="6">
        <v>2</v>
      </c>
      <c r="D15" s="6">
        <v>3</v>
      </c>
    </row>
    <row r="16" spans="1:4" x14ac:dyDescent="0.25">
      <c r="A16" s="4" t="s">
        <v>82</v>
      </c>
      <c r="B16" s="6">
        <v>1</v>
      </c>
      <c r="C16" s="6"/>
      <c r="D16" s="6">
        <v>1</v>
      </c>
    </row>
    <row r="17" spans="1:4" x14ac:dyDescent="0.25">
      <c r="A17" s="3" t="s">
        <v>26</v>
      </c>
      <c r="B17" s="6">
        <v>3</v>
      </c>
      <c r="C17" s="6">
        <v>6</v>
      </c>
      <c r="D17" s="6">
        <v>9</v>
      </c>
    </row>
    <row r="18" spans="1:4" x14ac:dyDescent="0.25">
      <c r="A18" s="4" t="s">
        <v>83</v>
      </c>
      <c r="B18" s="6">
        <v>1</v>
      </c>
      <c r="C18" s="6">
        <v>2</v>
      </c>
      <c r="D18" s="6">
        <v>3</v>
      </c>
    </row>
    <row r="19" spans="1:4" x14ac:dyDescent="0.25">
      <c r="A19" s="4" t="s">
        <v>84</v>
      </c>
      <c r="B19" s="6">
        <v>2</v>
      </c>
      <c r="C19" s="6">
        <v>3</v>
      </c>
      <c r="D19" s="6">
        <v>5</v>
      </c>
    </row>
    <row r="20" spans="1:4" x14ac:dyDescent="0.25">
      <c r="A20" s="4" t="s">
        <v>82</v>
      </c>
      <c r="B20" s="6"/>
      <c r="C20" s="6">
        <v>1</v>
      </c>
      <c r="D20" s="6">
        <v>1</v>
      </c>
    </row>
    <row r="21" spans="1:4" x14ac:dyDescent="0.25">
      <c r="A21" s="3" t="s">
        <v>36</v>
      </c>
      <c r="B21" s="6">
        <v>1</v>
      </c>
      <c r="C21" s="6">
        <v>6</v>
      </c>
      <c r="D21" s="6">
        <v>7</v>
      </c>
    </row>
    <row r="22" spans="1:4" x14ac:dyDescent="0.25">
      <c r="A22" s="4" t="s">
        <v>83</v>
      </c>
      <c r="B22" s="6"/>
      <c r="C22" s="6">
        <v>4</v>
      </c>
      <c r="D22" s="6">
        <v>4</v>
      </c>
    </row>
    <row r="23" spans="1:4" x14ac:dyDescent="0.25">
      <c r="A23" s="4" t="s">
        <v>84</v>
      </c>
      <c r="B23" s="6">
        <v>1</v>
      </c>
      <c r="C23" s="6">
        <v>2</v>
      </c>
      <c r="D23" s="6">
        <v>3</v>
      </c>
    </row>
    <row r="24" spans="1:4" x14ac:dyDescent="0.25">
      <c r="A24" s="3" t="s">
        <v>78</v>
      </c>
      <c r="B24" s="6">
        <v>21</v>
      </c>
      <c r="C24" s="6">
        <v>29</v>
      </c>
      <c r="D24" s="6">
        <v>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B123F-B1E3-4184-9585-C16E580653D6}">
  <dimension ref="A3:B7"/>
  <sheetViews>
    <sheetView workbookViewId="0">
      <selection activeCell="L25" sqref="L25"/>
    </sheetView>
  </sheetViews>
  <sheetFormatPr defaultRowHeight="15" x14ac:dyDescent="0.25"/>
  <cols>
    <col min="1" max="1" width="13.140625" bestFit="1" customWidth="1"/>
    <col min="2" max="2" width="20.42578125" bestFit="1" customWidth="1"/>
  </cols>
  <sheetData>
    <row r="3" spans="1:2" x14ac:dyDescent="0.25">
      <c r="A3" s="2" t="s">
        <v>77</v>
      </c>
      <c r="B3" t="s">
        <v>79</v>
      </c>
    </row>
    <row r="4" spans="1:2" x14ac:dyDescent="0.25">
      <c r="A4" s="3" t="s">
        <v>83</v>
      </c>
      <c r="B4" s="6">
        <v>20</v>
      </c>
    </row>
    <row r="5" spans="1:2" x14ac:dyDescent="0.25">
      <c r="A5" s="3" t="s">
        <v>84</v>
      </c>
      <c r="B5" s="6">
        <v>25</v>
      </c>
    </row>
    <row r="6" spans="1:2" x14ac:dyDescent="0.25">
      <c r="A6" s="3" t="s">
        <v>82</v>
      </c>
      <c r="B6" s="6">
        <v>5</v>
      </c>
    </row>
    <row r="7" spans="1:2" x14ac:dyDescent="0.25">
      <c r="A7" s="3" t="s">
        <v>78</v>
      </c>
      <c r="B7" s="6">
        <v>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59DE0-3B3D-40C0-84F3-496D21D91F77}">
  <dimension ref="A3:E9"/>
  <sheetViews>
    <sheetView workbookViewId="0">
      <selection activeCell="H22" sqref="H22"/>
    </sheetView>
  </sheetViews>
  <sheetFormatPr defaultRowHeight="15" x14ac:dyDescent="0.25"/>
  <cols>
    <col min="1" max="1" width="13.140625" bestFit="1" customWidth="1"/>
    <col min="2" max="2" width="26.140625" bestFit="1" customWidth="1"/>
  </cols>
  <sheetData>
    <row r="3" spans="1:5" x14ac:dyDescent="0.25">
      <c r="A3" s="2" t="s">
        <v>77</v>
      </c>
      <c r="B3" t="s">
        <v>81</v>
      </c>
    </row>
    <row r="4" spans="1:5" x14ac:dyDescent="0.25">
      <c r="A4" s="3" t="s">
        <v>14</v>
      </c>
      <c r="B4" s="5">
        <v>74021.2</v>
      </c>
    </row>
    <row r="5" spans="1:5" x14ac:dyDescent="0.25">
      <c r="A5" s="3" t="s">
        <v>10</v>
      </c>
      <c r="B5" s="5">
        <v>75727.230769230766</v>
      </c>
    </row>
    <row r="6" spans="1:5" x14ac:dyDescent="0.25">
      <c r="A6" s="3" t="s">
        <v>21</v>
      </c>
      <c r="B6" s="5">
        <v>71967.333333333328</v>
      </c>
      <c r="E6" s="5"/>
    </row>
    <row r="7" spans="1:5" x14ac:dyDescent="0.25">
      <c r="A7" s="3" t="s">
        <v>26</v>
      </c>
      <c r="B7" s="5">
        <v>89938</v>
      </c>
    </row>
    <row r="8" spans="1:5" x14ac:dyDescent="0.25">
      <c r="A8" s="3" t="s">
        <v>36</v>
      </c>
      <c r="B8" s="5">
        <v>91795.571428571435</v>
      </c>
    </row>
    <row r="9" spans="1:5" x14ac:dyDescent="0.25">
      <c r="A9" s="3" t="s">
        <v>78</v>
      </c>
      <c r="B9" s="5">
        <v>79571.740000000005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917DD-BC7A-4A05-AF34-45227951AB74}">
  <dimension ref="A3:B9"/>
  <sheetViews>
    <sheetView workbookViewId="0">
      <selection activeCell="G20" sqref="G20"/>
    </sheetView>
  </sheetViews>
  <sheetFormatPr defaultRowHeight="15" x14ac:dyDescent="0.25"/>
  <cols>
    <col min="1" max="1" width="13.140625" bestFit="1" customWidth="1"/>
    <col min="2" max="2" width="20.42578125" bestFit="1" customWidth="1"/>
  </cols>
  <sheetData>
    <row r="3" spans="1:2" x14ac:dyDescent="0.25">
      <c r="A3" s="2" t="s">
        <v>77</v>
      </c>
      <c r="B3" t="s">
        <v>79</v>
      </c>
    </row>
    <row r="4" spans="1:2" x14ac:dyDescent="0.25">
      <c r="A4" s="3">
        <v>1</v>
      </c>
      <c r="B4" s="6">
        <v>11</v>
      </c>
    </row>
    <row r="5" spans="1:2" x14ac:dyDescent="0.25">
      <c r="A5" s="3">
        <v>2</v>
      </c>
      <c r="B5" s="6">
        <v>11</v>
      </c>
    </row>
    <row r="6" spans="1:2" x14ac:dyDescent="0.25">
      <c r="A6" s="3">
        <v>3</v>
      </c>
      <c r="B6" s="6">
        <v>12</v>
      </c>
    </row>
    <row r="7" spans="1:2" x14ac:dyDescent="0.25">
      <c r="A7" s="3">
        <v>4</v>
      </c>
      <c r="B7" s="6">
        <v>10</v>
      </c>
    </row>
    <row r="8" spans="1:2" x14ac:dyDescent="0.25">
      <c r="A8" s="3">
        <v>5</v>
      </c>
      <c r="B8" s="6">
        <v>6</v>
      </c>
    </row>
    <row r="9" spans="1:2" x14ac:dyDescent="0.25">
      <c r="A9" s="3" t="s">
        <v>78</v>
      </c>
      <c r="B9" s="6">
        <v>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1"/>
  <sheetViews>
    <sheetView topLeftCell="A2" workbookViewId="0">
      <selection activeCell="A3" sqref="A3"/>
    </sheetView>
  </sheetViews>
  <sheetFormatPr defaultRowHeight="15" x14ac:dyDescent="0.25"/>
  <cols>
    <col min="1" max="1" width="20.5703125" customWidth="1"/>
    <col min="2" max="2" width="17" customWidth="1"/>
    <col min="3" max="4" width="16.5703125" customWidth="1"/>
    <col min="5" max="5" width="17" customWidth="1"/>
    <col min="6" max="6" width="19.7109375" customWidth="1"/>
    <col min="7" max="7" width="22.42578125" customWidth="1"/>
    <col min="8" max="8" width="21.28515625" customWidth="1"/>
    <col min="9" max="9" width="24.140625" customWidth="1"/>
    <col min="10" max="10" width="19.5703125" customWidth="1"/>
  </cols>
  <sheetData>
    <row r="1" spans="1:10" x14ac:dyDescent="0.25">
      <c r="A1" s="1" t="s">
        <v>0</v>
      </c>
      <c r="B1" s="1" t="s">
        <v>1</v>
      </c>
      <c r="C1" s="1" t="s">
        <v>2</v>
      </c>
      <c r="D1" s="1" t="s">
        <v>76</v>
      </c>
      <c r="E1" s="1" t="s">
        <v>3</v>
      </c>
      <c r="F1" s="1" t="s">
        <v>4</v>
      </c>
      <c r="G1" s="1" t="s">
        <v>5</v>
      </c>
      <c r="H1" s="1" t="s">
        <v>6</v>
      </c>
      <c r="I1" s="1" t="s">
        <v>7</v>
      </c>
      <c r="J1" s="1" t="s">
        <v>8</v>
      </c>
    </row>
    <row r="2" spans="1:10" x14ac:dyDescent="0.25">
      <c r="A2" s="1">
        <v>1</v>
      </c>
      <c r="B2" s="1" t="s">
        <v>9</v>
      </c>
      <c r="C2" s="1">
        <v>33</v>
      </c>
      <c r="D2" s="1" t="str">
        <f t="shared" ref="D2:D33" si="0">IF(C2&lt;=27,"Young",IF(C2&lt;=35,"Adult","Senior"))</f>
        <v>Adult</v>
      </c>
      <c r="E2" s="1" t="s">
        <v>10</v>
      </c>
      <c r="F2" s="1" t="s">
        <v>11</v>
      </c>
      <c r="G2" s="1">
        <v>39578</v>
      </c>
      <c r="H2" s="1">
        <v>18</v>
      </c>
      <c r="I2" s="1">
        <v>3</v>
      </c>
      <c r="J2" s="1" t="s">
        <v>12</v>
      </c>
    </row>
    <row r="3" spans="1:10" x14ac:dyDescent="0.25">
      <c r="A3" s="1">
        <v>2</v>
      </c>
      <c r="B3" s="1" t="s">
        <v>13</v>
      </c>
      <c r="C3" s="1">
        <v>39</v>
      </c>
      <c r="D3" s="1" t="str">
        <f t="shared" si="0"/>
        <v>Senior</v>
      </c>
      <c r="E3" s="1" t="s">
        <v>14</v>
      </c>
      <c r="F3" s="1" t="s">
        <v>15</v>
      </c>
      <c r="G3" s="1">
        <v>47273</v>
      </c>
      <c r="H3" s="1">
        <v>6</v>
      </c>
      <c r="I3" s="1">
        <v>5</v>
      </c>
      <c r="J3" s="1" t="s">
        <v>16</v>
      </c>
    </row>
    <row r="4" spans="1:10" x14ac:dyDescent="0.25">
      <c r="A4" s="1">
        <v>3</v>
      </c>
      <c r="B4" s="1" t="s">
        <v>17</v>
      </c>
      <c r="C4" s="1">
        <v>44</v>
      </c>
      <c r="D4" s="1" t="str">
        <f t="shared" si="0"/>
        <v>Senior</v>
      </c>
      <c r="E4" s="1" t="s">
        <v>10</v>
      </c>
      <c r="F4" s="1" t="s">
        <v>11</v>
      </c>
      <c r="G4" s="1">
        <v>64699</v>
      </c>
      <c r="H4" s="1">
        <v>7</v>
      </c>
      <c r="I4" s="1">
        <v>1</v>
      </c>
      <c r="J4" s="1" t="s">
        <v>16</v>
      </c>
    </row>
    <row r="5" spans="1:10" x14ac:dyDescent="0.25">
      <c r="A5" s="1">
        <v>4</v>
      </c>
      <c r="B5" s="1" t="s">
        <v>18</v>
      </c>
      <c r="C5" s="1">
        <v>40</v>
      </c>
      <c r="D5" s="1" t="str">
        <f t="shared" si="0"/>
        <v>Senior</v>
      </c>
      <c r="E5" s="1" t="s">
        <v>14</v>
      </c>
      <c r="F5" s="1" t="s">
        <v>19</v>
      </c>
      <c r="G5" s="1">
        <v>39445</v>
      </c>
      <c r="H5" s="1">
        <v>8</v>
      </c>
      <c r="I5" s="1">
        <v>5</v>
      </c>
      <c r="J5" s="1" t="s">
        <v>12</v>
      </c>
    </row>
    <row r="6" spans="1:10" x14ac:dyDescent="0.25">
      <c r="A6" s="1">
        <v>5</v>
      </c>
      <c r="B6" s="1" t="s">
        <v>20</v>
      </c>
      <c r="C6" s="1">
        <v>34</v>
      </c>
      <c r="D6" s="1" t="str">
        <f t="shared" si="0"/>
        <v>Adult</v>
      </c>
      <c r="E6" s="1" t="s">
        <v>21</v>
      </c>
      <c r="F6" s="1" t="s">
        <v>22</v>
      </c>
      <c r="G6" s="1">
        <v>90446</v>
      </c>
      <c r="H6" s="1">
        <v>7</v>
      </c>
      <c r="I6" s="1">
        <v>1</v>
      </c>
      <c r="J6" s="1" t="s">
        <v>16</v>
      </c>
    </row>
    <row r="7" spans="1:10" x14ac:dyDescent="0.25">
      <c r="A7" s="1">
        <v>6</v>
      </c>
      <c r="B7" s="1" t="s">
        <v>23</v>
      </c>
      <c r="C7" s="1">
        <v>31</v>
      </c>
      <c r="D7" s="1" t="str">
        <f t="shared" si="0"/>
        <v>Adult</v>
      </c>
      <c r="E7" s="1" t="s">
        <v>10</v>
      </c>
      <c r="F7" s="1" t="s">
        <v>24</v>
      </c>
      <c r="G7" s="1">
        <v>71753</v>
      </c>
      <c r="H7" s="1">
        <v>14</v>
      </c>
      <c r="I7" s="1">
        <v>3</v>
      </c>
      <c r="J7" s="1" t="s">
        <v>12</v>
      </c>
    </row>
    <row r="8" spans="1:10" x14ac:dyDescent="0.25">
      <c r="A8" s="1">
        <v>7</v>
      </c>
      <c r="B8" s="1" t="s">
        <v>25</v>
      </c>
      <c r="C8" s="1">
        <v>36</v>
      </c>
      <c r="D8" s="1" t="str">
        <f t="shared" si="0"/>
        <v>Senior</v>
      </c>
      <c r="E8" s="1" t="s">
        <v>26</v>
      </c>
      <c r="F8" s="1" t="s">
        <v>27</v>
      </c>
      <c r="G8" s="1">
        <v>103810</v>
      </c>
      <c r="H8" s="1">
        <v>3</v>
      </c>
      <c r="I8" s="1">
        <v>4</v>
      </c>
      <c r="J8" s="1" t="s">
        <v>12</v>
      </c>
    </row>
    <row r="9" spans="1:10" x14ac:dyDescent="0.25">
      <c r="A9" s="1">
        <v>8</v>
      </c>
      <c r="B9" s="1" t="s">
        <v>28</v>
      </c>
      <c r="C9" s="1">
        <v>28</v>
      </c>
      <c r="D9" s="1" t="str">
        <f t="shared" si="0"/>
        <v>Adult</v>
      </c>
      <c r="E9" s="1" t="s">
        <v>14</v>
      </c>
      <c r="F9" s="1" t="s">
        <v>19</v>
      </c>
      <c r="G9" s="1">
        <v>30248</v>
      </c>
      <c r="H9" s="1">
        <v>20</v>
      </c>
      <c r="I9" s="1">
        <v>3</v>
      </c>
      <c r="J9" s="1" t="s">
        <v>16</v>
      </c>
    </row>
    <row r="10" spans="1:10" x14ac:dyDescent="0.25">
      <c r="A10" s="1">
        <v>9</v>
      </c>
      <c r="B10" s="1" t="s">
        <v>29</v>
      </c>
      <c r="C10" s="1">
        <v>26</v>
      </c>
      <c r="D10" s="1" t="str">
        <f t="shared" si="0"/>
        <v>Young</v>
      </c>
      <c r="E10" s="1" t="s">
        <v>14</v>
      </c>
      <c r="F10" s="1" t="s">
        <v>15</v>
      </c>
      <c r="G10" s="1">
        <v>53092</v>
      </c>
      <c r="H10" s="1">
        <v>5</v>
      </c>
      <c r="I10" s="1">
        <v>4</v>
      </c>
      <c r="J10" s="1" t="s">
        <v>16</v>
      </c>
    </row>
    <row r="11" spans="1:10" x14ac:dyDescent="0.25">
      <c r="A11" s="1">
        <v>10</v>
      </c>
      <c r="B11" s="1" t="s">
        <v>30</v>
      </c>
      <c r="C11" s="1">
        <v>32</v>
      </c>
      <c r="D11" s="1" t="str">
        <f t="shared" si="0"/>
        <v>Adult</v>
      </c>
      <c r="E11" s="1" t="s">
        <v>26</v>
      </c>
      <c r="F11" s="1" t="s">
        <v>31</v>
      </c>
      <c r="G11" s="1">
        <v>113380</v>
      </c>
      <c r="H11" s="1">
        <v>18</v>
      </c>
      <c r="I11" s="1">
        <v>5</v>
      </c>
      <c r="J11" s="1" t="s">
        <v>12</v>
      </c>
    </row>
    <row r="12" spans="1:10" x14ac:dyDescent="0.25">
      <c r="A12" s="1">
        <v>11</v>
      </c>
      <c r="B12" s="1" t="s">
        <v>32</v>
      </c>
      <c r="C12" s="1">
        <v>44</v>
      </c>
      <c r="D12" s="1" t="str">
        <f t="shared" si="0"/>
        <v>Senior</v>
      </c>
      <c r="E12" s="1" t="s">
        <v>10</v>
      </c>
      <c r="F12" s="1" t="s">
        <v>24</v>
      </c>
      <c r="G12" s="1">
        <v>48706</v>
      </c>
      <c r="H12" s="1">
        <v>10</v>
      </c>
      <c r="I12" s="1">
        <v>2</v>
      </c>
      <c r="J12" s="1" t="s">
        <v>12</v>
      </c>
    </row>
    <row r="13" spans="1:10" x14ac:dyDescent="0.25">
      <c r="A13" s="1">
        <v>12</v>
      </c>
      <c r="B13" s="1" t="s">
        <v>33</v>
      </c>
      <c r="C13" s="1">
        <v>39</v>
      </c>
      <c r="D13" s="1" t="str">
        <f t="shared" si="0"/>
        <v>Senior</v>
      </c>
      <c r="E13" s="1" t="s">
        <v>26</v>
      </c>
      <c r="F13" s="1" t="s">
        <v>31</v>
      </c>
      <c r="G13" s="1">
        <v>108944</v>
      </c>
      <c r="H13" s="1">
        <v>1</v>
      </c>
      <c r="I13" s="1">
        <v>3</v>
      </c>
      <c r="J13" s="1" t="s">
        <v>12</v>
      </c>
    </row>
    <row r="14" spans="1:10" x14ac:dyDescent="0.25">
      <c r="A14" s="1">
        <v>13</v>
      </c>
      <c r="B14" s="1" t="s">
        <v>34</v>
      </c>
      <c r="C14" s="1">
        <v>43</v>
      </c>
      <c r="D14" s="1" t="str">
        <f t="shared" si="0"/>
        <v>Senior</v>
      </c>
      <c r="E14" s="1" t="s">
        <v>14</v>
      </c>
      <c r="F14" s="1" t="s">
        <v>15</v>
      </c>
      <c r="G14" s="1">
        <v>87900</v>
      </c>
      <c r="H14" s="1">
        <v>17</v>
      </c>
      <c r="I14" s="1">
        <v>5</v>
      </c>
      <c r="J14" s="1" t="s">
        <v>16</v>
      </c>
    </row>
    <row r="15" spans="1:10" x14ac:dyDescent="0.25">
      <c r="A15" s="1">
        <v>14</v>
      </c>
      <c r="B15" s="1" t="s">
        <v>35</v>
      </c>
      <c r="C15" s="1">
        <v>42</v>
      </c>
      <c r="D15" s="1" t="str">
        <f t="shared" si="0"/>
        <v>Senior</v>
      </c>
      <c r="E15" s="1" t="s">
        <v>36</v>
      </c>
      <c r="F15" s="1" t="s">
        <v>37</v>
      </c>
      <c r="G15" s="1">
        <v>50104</v>
      </c>
      <c r="H15" s="1">
        <v>7</v>
      </c>
      <c r="I15" s="1">
        <v>4</v>
      </c>
      <c r="J15" s="1" t="s">
        <v>12</v>
      </c>
    </row>
    <row r="16" spans="1:10" x14ac:dyDescent="0.25">
      <c r="A16" s="1">
        <v>15</v>
      </c>
      <c r="B16" s="1" t="s">
        <v>38</v>
      </c>
      <c r="C16" s="1">
        <v>39</v>
      </c>
      <c r="D16" s="1" t="str">
        <f t="shared" si="0"/>
        <v>Senior</v>
      </c>
      <c r="E16" s="1" t="s">
        <v>14</v>
      </c>
      <c r="F16" s="1" t="s">
        <v>15</v>
      </c>
      <c r="G16" s="1">
        <v>115753</v>
      </c>
      <c r="H16" s="1">
        <v>2</v>
      </c>
      <c r="I16" s="1">
        <v>2</v>
      </c>
      <c r="J16" s="1" t="s">
        <v>12</v>
      </c>
    </row>
    <row r="17" spans="1:10" x14ac:dyDescent="0.25">
      <c r="A17" s="1">
        <v>16</v>
      </c>
      <c r="B17" s="1" t="s">
        <v>39</v>
      </c>
      <c r="C17" s="1">
        <v>42</v>
      </c>
      <c r="D17" s="1" t="str">
        <f t="shared" si="0"/>
        <v>Senior</v>
      </c>
      <c r="E17" s="1" t="s">
        <v>14</v>
      </c>
      <c r="F17" s="1" t="s">
        <v>15</v>
      </c>
      <c r="G17" s="1">
        <v>115346</v>
      </c>
      <c r="H17" s="1">
        <v>6</v>
      </c>
      <c r="I17" s="1">
        <v>4</v>
      </c>
      <c r="J17" s="1" t="s">
        <v>12</v>
      </c>
    </row>
    <row r="18" spans="1:10" x14ac:dyDescent="0.25">
      <c r="A18" s="1">
        <v>17</v>
      </c>
      <c r="B18" s="1" t="s">
        <v>40</v>
      </c>
      <c r="C18" s="1">
        <v>26</v>
      </c>
      <c r="D18" s="1" t="str">
        <f t="shared" si="0"/>
        <v>Young</v>
      </c>
      <c r="E18" s="1" t="s">
        <v>14</v>
      </c>
      <c r="F18" s="1" t="s">
        <v>15</v>
      </c>
      <c r="G18" s="1">
        <v>98284</v>
      </c>
      <c r="H18" s="1">
        <v>4</v>
      </c>
      <c r="I18" s="1">
        <v>3</v>
      </c>
      <c r="J18" s="1" t="s">
        <v>16</v>
      </c>
    </row>
    <row r="19" spans="1:10" x14ac:dyDescent="0.25">
      <c r="A19" s="1">
        <v>18</v>
      </c>
      <c r="B19" s="1" t="s">
        <v>41</v>
      </c>
      <c r="C19" s="1">
        <v>43</v>
      </c>
      <c r="D19" s="1" t="str">
        <f t="shared" si="0"/>
        <v>Senior</v>
      </c>
      <c r="E19" s="1" t="s">
        <v>14</v>
      </c>
      <c r="F19" s="1" t="s">
        <v>19</v>
      </c>
      <c r="G19" s="1">
        <v>102589</v>
      </c>
      <c r="H19" s="1">
        <v>20</v>
      </c>
      <c r="I19" s="1">
        <v>4</v>
      </c>
      <c r="J19" s="1" t="s">
        <v>16</v>
      </c>
    </row>
    <row r="20" spans="1:10" x14ac:dyDescent="0.25">
      <c r="A20" s="1">
        <v>19</v>
      </c>
      <c r="B20" s="1" t="s">
        <v>42</v>
      </c>
      <c r="C20" s="1">
        <v>40</v>
      </c>
      <c r="D20" s="1" t="str">
        <f t="shared" si="0"/>
        <v>Senior</v>
      </c>
      <c r="E20" s="1" t="s">
        <v>10</v>
      </c>
      <c r="F20" s="1" t="s">
        <v>24</v>
      </c>
      <c r="G20" s="1">
        <v>90588</v>
      </c>
      <c r="H20" s="1">
        <v>14</v>
      </c>
      <c r="I20" s="1">
        <v>1</v>
      </c>
      <c r="J20" s="1" t="s">
        <v>16</v>
      </c>
    </row>
    <row r="21" spans="1:10" x14ac:dyDescent="0.25">
      <c r="A21" s="1">
        <v>20</v>
      </c>
      <c r="B21" s="1" t="s">
        <v>43</v>
      </c>
      <c r="C21" s="1">
        <v>32</v>
      </c>
      <c r="D21" s="1" t="str">
        <f t="shared" si="0"/>
        <v>Adult</v>
      </c>
      <c r="E21" s="1" t="s">
        <v>10</v>
      </c>
      <c r="F21" s="1" t="s">
        <v>11</v>
      </c>
      <c r="G21" s="1">
        <v>111620</v>
      </c>
      <c r="H21" s="1">
        <v>13</v>
      </c>
      <c r="I21" s="1">
        <v>1</v>
      </c>
      <c r="J21" s="1" t="s">
        <v>16</v>
      </c>
    </row>
    <row r="22" spans="1:10" x14ac:dyDescent="0.25">
      <c r="A22" s="1">
        <v>21</v>
      </c>
      <c r="B22" s="1" t="s">
        <v>44</v>
      </c>
      <c r="C22" s="1">
        <v>41</v>
      </c>
      <c r="D22" s="1" t="str">
        <f t="shared" si="0"/>
        <v>Senior</v>
      </c>
      <c r="E22" s="1" t="s">
        <v>36</v>
      </c>
      <c r="F22" s="1" t="s">
        <v>37</v>
      </c>
      <c r="G22" s="1">
        <v>102729</v>
      </c>
      <c r="H22" s="1">
        <v>16</v>
      </c>
      <c r="I22" s="1">
        <v>4</v>
      </c>
      <c r="J22" s="1" t="s">
        <v>16</v>
      </c>
    </row>
    <row r="23" spans="1:10" x14ac:dyDescent="0.25">
      <c r="A23" s="1">
        <v>22</v>
      </c>
      <c r="B23" s="1" t="s">
        <v>45</v>
      </c>
      <c r="C23" s="1">
        <v>36</v>
      </c>
      <c r="D23" s="1" t="str">
        <f t="shared" si="0"/>
        <v>Senior</v>
      </c>
      <c r="E23" s="1" t="s">
        <v>21</v>
      </c>
      <c r="F23" s="1" t="s">
        <v>46</v>
      </c>
      <c r="G23" s="1">
        <v>50665</v>
      </c>
      <c r="H23" s="1">
        <v>8</v>
      </c>
      <c r="I23" s="1">
        <v>4</v>
      </c>
      <c r="J23" s="1" t="s">
        <v>12</v>
      </c>
    </row>
    <row r="24" spans="1:10" x14ac:dyDescent="0.25">
      <c r="A24" s="1">
        <v>23</v>
      </c>
      <c r="B24" s="1" t="s">
        <v>47</v>
      </c>
      <c r="C24" s="1">
        <v>38</v>
      </c>
      <c r="D24" s="1" t="str">
        <f t="shared" si="0"/>
        <v>Senior</v>
      </c>
      <c r="E24" s="1" t="s">
        <v>26</v>
      </c>
      <c r="F24" s="1" t="s">
        <v>27</v>
      </c>
      <c r="G24" s="1">
        <v>115847</v>
      </c>
      <c r="H24" s="1">
        <v>13</v>
      </c>
      <c r="I24" s="1">
        <v>3</v>
      </c>
      <c r="J24" s="1" t="s">
        <v>16</v>
      </c>
    </row>
    <row r="25" spans="1:10" x14ac:dyDescent="0.25">
      <c r="A25" s="1">
        <v>24</v>
      </c>
      <c r="B25" s="1" t="s">
        <v>48</v>
      </c>
      <c r="C25" s="1">
        <v>24</v>
      </c>
      <c r="D25" s="1" t="str">
        <f t="shared" si="0"/>
        <v>Young</v>
      </c>
      <c r="E25" s="1" t="s">
        <v>10</v>
      </c>
      <c r="F25" s="1" t="s">
        <v>24</v>
      </c>
      <c r="G25" s="1">
        <v>118179</v>
      </c>
      <c r="H25" s="1">
        <v>18</v>
      </c>
      <c r="I25" s="1">
        <v>1</v>
      </c>
      <c r="J25" s="1" t="s">
        <v>12</v>
      </c>
    </row>
    <row r="26" spans="1:10" x14ac:dyDescent="0.25">
      <c r="A26" s="1">
        <v>25</v>
      </c>
      <c r="B26" s="1" t="s">
        <v>49</v>
      </c>
      <c r="C26" s="1">
        <v>33</v>
      </c>
      <c r="D26" s="1" t="str">
        <f t="shared" si="0"/>
        <v>Adult</v>
      </c>
      <c r="E26" s="1" t="s">
        <v>26</v>
      </c>
      <c r="F26" s="1" t="s">
        <v>31</v>
      </c>
      <c r="G26" s="1">
        <v>61473</v>
      </c>
      <c r="H26" s="1">
        <v>16</v>
      </c>
      <c r="I26" s="1">
        <v>1</v>
      </c>
      <c r="J26" s="1" t="s">
        <v>16</v>
      </c>
    </row>
    <row r="27" spans="1:10" x14ac:dyDescent="0.25">
      <c r="A27" s="1">
        <v>26</v>
      </c>
      <c r="B27" s="1" t="s">
        <v>50</v>
      </c>
      <c r="C27" s="1">
        <v>39</v>
      </c>
      <c r="D27" s="1" t="str">
        <f t="shared" si="0"/>
        <v>Senior</v>
      </c>
      <c r="E27" s="1" t="s">
        <v>26</v>
      </c>
      <c r="F27" s="1" t="s">
        <v>31</v>
      </c>
      <c r="G27" s="1">
        <v>109305</v>
      </c>
      <c r="H27" s="1">
        <v>19</v>
      </c>
      <c r="I27" s="1">
        <v>3</v>
      </c>
      <c r="J27" s="1" t="s">
        <v>12</v>
      </c>
    </row>
    <row r="28" spans="1:10" x14ac:dyDescent="0.25">
      <c r="A28" s="1">
        <v>27</v>
      </c>
      <c r="B28" s="1" t="s">
        <v>51</v>
      </c>
      <c r="C28" s="1">
        <v>38</v>
      </c>
      <c r="D28" s="1" t="str">
        <f t="shared" si="0"/>
        <v>Senior</v>
      </c>
      <c r="E28" s="1" t="s">
        <v>10</v>
      </c>
      <c r="F28" s="1" t="s">
        <v>11</v>
      </c>
      <c r="G28" s="1">
        <v>90699</v>
      </c>
      <c r="H28" s="1">
        <v>9</v>
      </c>
      <c r="I28" s="1">
        <v>1</v>
      </c>
      <c r="J28" s="1" t="s">
        <v>16</v>
      </c>
    </row>
    <row r="29" spans="1:10" x14ac:dyDescent="0.25">
      <c r="A29" s="1">
        <v>28</v>
      </c>
      <c r="B29" s="1" t="s">
        <v>52</v>
      </c>
      <c r="C29" s="1">
        <v>41</v>
      </c>
      <c r="D29" s="1" t="str">
        <f t="shared" si="0"/>
        <v>Senior</v>
      </c>
      <c r="E29" s="1" t="s">
        <v>14</v>
      </c>
      <c r="F29" s="1" t="s">
        <v>19</v>
      </c>
      <c r="G29" s="1">
        <v>45153</v>
      </c>
      <c r="H29" s="1">
        <v>15</v>
      </c>
      <c r="I29" s="1">
        <v>3</v>
      </c>
      <c r="J29" s="1" t="s">
        <v>16</v>
      </c>
    </row>
    <row r="30" spans="1:10" x14ac:dyDescent="0.25">
      <c r="A30" s="1">
        <v>29</v>
      </c>
      <c r="B30" s="1" t="s">
        <v>53</v>
      </c>
      <c r="C30" s="1">
        <v>34</v>
      </c>
      <c r="D30" s="1" t="str">
        <f t="shared" si="0"/>
        <v>Adult</v>
      </c>
      <c r="E30" s="1" t="s">
        <v>14</v>
      </c>
      <c r="F30" s="1" t="s">
        <v>15</v>
      </c>
      <c r="G30" s="1">
        <v>93468</v>
      </c>
      <c r="H30" s="1">
        <v>15</v>
      </c>
      <c r="I30" s="1">
        <v>1</v>
      </c>
      <c r="J30" s="1" t="s">
        <v>12</v>
      </c>
    </row>
    <row r="31" spans="1:10" x14ac:dyDescent="0.25">
      <c r="A31" s="1">
        <v>30</v>
      </c>
      <c r="B31" s="1" t="s">
        <v>54</v>
      </c>
      <c r="C31" s="1">
        <v>38</v>
      </c>
      <c r="D31" s="1" t="str">
        <f t="shared" si="0"/>
        <v>Senior</v>
      </c>
      <c r="E31" s="1" t="s">
        <v>21</v>
      </c>
      <c r="F31" s="1" t="s">
        <v>46</v>
      </c>
      <c r="G31" s="1">
        <v>62136</v>
      </c>
      <c r="H31" s="1">
        <v>2</v>
      </c>
      <c r="I31" s="1">
        <v>2</v>
      </c>
      <c r="J31" s="1" t="s">
        <v>12</v>
      </c>
    </row>
    <row r="32" spans="1:10" x14ac:dyDescent="0.25">
      <c r="A32" s="1">
        <v>31</v>
      </c>
      <c r="B32" s="1" t="s">
        <v>55</v>
      </c>
      <c r="C32" s="1">
        <v>44</v>
      </c>
      <c r="D32" s="1" t="str">
        <f t="shared" si="0"/>
        <v>Senior</v>
      </c>
      <c r="E32" s="1" t="s">
        <v>36</v>
      </c>
      <c r="F32" s="1" t="s">
        <v>56</v>
      </c>
      <c r="G32" s="1">
        <v>99699</v>
      </c>
      <c r="H32" s="1">
        <v>3</v>
      </c>
      <c r="I32" s="1">
        <v>5</v>
      </c>
      <c r="J32" s="1" t="s">
        <v>12</v>
      </c>
    </row>
    <row r="33" spans="1:10" x14ac:dyDescent="0.25">
      <c r="A33" s="1">
        <v>32</v>
      </c>
      <c r="B33" s="1" t="s">
        <v>57</v>
      </c>
      <c r="C33" s="1">
        <v>28</v>
      </c>
      <c r="D33" s="1" t="str">
        <f t="shared" si="0"/>
        <v>Adult</v>
      </c>
      <c r="E33" s="1" t="s">
        <v>36</v>
      </c>
      <c r="F33" s="1" t="s">
        <v>37</v>
      </c>
      <c r="G33" s="1">
        <v>79077</v>
      </c>
      <c r="H33" s="1">
        <v>10</v>
      </c>
      <c r="I33" s="1">
        <v>4</v>
      </c>
      <c r="J33" s="1" t="s">
        <v>12</v>
      </c>
    </row>
    <row r="34" spans="1:10" x14ac:dyDescent="0.25">
      <c r="A34" s="1">
        <v>33</v>
      </c>
      <c r="B34" s="1" t="s">
        <v>58</v>
      </c>
      <c r="C34" s="1">
        <v>43</v>
      </c>
      <c r="D34" s="1" t="str">
        <f t="shared" ref="D34:D51" si="1">IF(C34&lt;=27,"Young",IF(C34&lt;=35,"Adult","Senior"))</f>
        <v>Senior</v>
      </c>
      <c r="E34" s="1" t="s">
        <v>10</v>
      </c>
      <c r="F34" s="1" t="s">
        <v>24</v>
      </c>
      <c r="G34" s="1">
        <v>40881</v>
      </c>
      <c r="H34" s="1">
        <v>10</v>
      </c>
      <c r="I34" s="1">
        <v>2</v>
      </c>
      <c r="J34" s="1" t="s">
        <v>12</v>
      </c>
    </row>
    <row r="35" spans="1:10" x14ac:dyDescent="0.25">
      <c r="A35" s="1">
        <v>34</v>
      </c>
      <c r="B35" s="1" t="s">
        <v>59</v>
      </c>
      <c r="C35" s="1">
        <v>35</v>
      </c>
      <c r="D35" s="1" t="str">
        <f t="shared" si="1"/>
        <v>Adult</v>
      </c>
      <c r="E35" s="1" t="s">
        <v>26</v>
      </c>
      <c r="F35" s="1" t="s">
        <v>27</v>
      </c>
      <c r="G35" s="1">
        <v>110723</v>
      </c>
      <c r="H35" s="1">
        <v>14</v>
      </c>
      <c r="I35" s="1">
        <v>2</v>
      </c>
      <c r="J35" s="1" t="s">
        <v>12</v>
      </c>
    </row>
    <row r="36" spans="1:10" x14ac:dyDescent="0.25">
      <c r="A36" s="1">
        <v>35</v>
      </c>
      <c r="B36" s="1" t="s">
        <v>60</v>
      </c>
      <c r="C36" s="1">
        <v>30</v>
      </c>
      <c r="D36" s="1" t="str">
        <f t="shared" si="1"/>
        <v>Adult</v>
      </c>
      <c r="E36" s="1" t="s">
        <v>36</v>
      </c>
      <c r="F36" s="1" t="s">
        <v>56</v>
      </c>
      <c r="G36" s="1">
        <v>108851</v>
      </c>
      <c r="H36" s="1">
        <v>10</v>
      </c>
      <c r="I36" s="1">
        <v>3</v>
      </c>
      <c r="J36" s="1" t="s">
        <v>12</v>
      </c>
    </row>
    <row r="37" spans="1:10" x14ac:dyDescent="0.25">
      <c r="A37" s="1">
        <v>36</v>
      </c>
      <c r="B37" s="1" t="s">
        <v>61</v>
      </c>
      <c r="C37" s="1">
        <v>34</v>
      </c>
      <c r="D37" s="1" t="str">
        <f t="shared" si="1"/>
        <v>Adult</v>
      </c>
      <c r="E37" s="1" t="s">
        <v>10</v>
      </c>
      <c r="F37" s="1" t="s">
        <v>11</v>
      </c>
      <c r="G37" s="1">
        <v>66325</v>
      </c>
      <c r="H37" s="1">
        <v>9</v>
      </c>
      <c r="I37" s="1">
        <v>4</v>
      </c>
      <c r="J37" s="1" t="s">
        <v>12</v>
      </c>
    </row>
    <row r="38" spans="1:10" x14ac:dyDescent="0.25">
      <c r="A38" s="1">
        <v>37</v>
      </c>
      <c r="B38" s="1" t="s">
        <v>62</v>
      </c>
      <c r="C38" s="1">
        <v>25</v>
      </c>
      <c r="D38" s="1" t="str">
        <f t="shared" si="1"/>
        <v>Young</v>
      </c>
      <c r="E38" s="1" t="s">
        <v>26</v>
      </c>
      <c r="F38" s="1" t="s">
        <v>27</v>
      </c>
      <c r="G38" s="1">
        <v>45768</v>
      </c>
      <c r="H38" s="1">
        <v>1</v>
      </c>
      <c r="I38" s="1">
        <v>1</v>
      </c>
      <c r="J38" s="1" t="s">
        <v>12</v>
      </c>
    </row>
    <row r="39" spans="1:10" x14ac:dyDescent="0.25">
      <c r="A39" s="1">
        <v>38</v>
      </c>
      <c r="B39" s="1" t="s">
        <v>63</v>
      </c>
      <c r="C39" s="1">
        <v>43</v>
      </c>
      <c r="D39" s="1" t="str">
        <f t="shared" si="1"/>
        <v>Senior</v>
      </c>
      <c r="E39" s="1" t="s">
        <v>14</v>
      </c>
      <c r="F39" s="1" t="s">
        <v>15</v>
      </c>
      <c r="G39" s="1">
        <v>71442</v>
      </c>
      <c r="H39" s="1">
        <v>14</v>
      </c>
      <c r="I39" s="1">
        <v>2</v>
      </c>
      <c r="J39" s="1" t="s">
        <v>12</v>
      </c>
    </row>
    <row r="40" spans="1:10" x14ac:dyDescent="0.25">
      <c r="A40" s="1">
        <v>39</v>
      </c>
      <c r="B40" s="1" t="s">
        <v>64</v>
      </c>
      <c r="C40" s="1">
        <v>30</v>
      </c>
      <c r="D40" s="1" t="str">
        <f t="shared" si="1"/>
        <v>Adult</v>
      </c>
      <c r="E40" s="1" t="s">
        <v>10</v>
      </c>
      <c r="F40" s="1" t="s">
        <v>11</v>
      </c>
      <c r="G40" s="1">
        <v>118934</v>
      </c>
      <c r="H40" s="1">
        <v>10</v>
      </c>
      <c r="I40" s="1">
        <v>2</v>
      </c>
      <c r="J40" s="1" t="s">
        <v>12</v>
      </c>
    </row>
    <row r="41" spans="1:10" x14ac:dyDescent="0.25">
      <c r="A41" s="1">
        <v>40</v>
      </c>
      <c r="B41" s="1" t="s">
        <v>65</v>
      </c>
      <c r="C41" s="1">
        <v>40</v>
      </c>
      <c r="D41" s="1" t="str">
        <f t="shared" si="1"/>
        <v>Senior</v>
      </c>
      <c r="E41" s="1" t="s">
        <v>10</v>
      </c>
      <c r="F41" s="1" t="s">
        <v>11</v>
      </c>
      <c r="G41" s="1">
        <v>44770</v>
      </c>
      <c r="H41" s="1">
        <v>7</v>
      </c>
      <c r="I41" s="1">
        <v>1</v>
      </c>
      <c r="J41" s="1" t="s">
        <v>12</v>
      </c>
    </row>
    <row r="42" spans="1:10" x14ac:dyDescent="0.25">
      <c r="A42" s="1">
        <v>41</v>
      </c>
      <c r="B42" s="1" t="s">
        <v>66</v>
      </c>
      <c r="C42" s="1">
        <v>33</v>
      </c>
      <c r="D42" s="1" t="str">
        <f t="shared" si="1"/>
        <v>Adult</v>
      </c>
      <c r="E42" s="1" t="s">
        <v>36</v>
      </c>
      <c r="F42" s="1" t="s">
        <v>37</v>
      </c>
      <c r="G42" s="1">
        <v>85332</v>
      </c>
      <c r="H42" s="1">
        <v>6</v>
      </c>
      <c r="I42" s="1">
        <v>1</v>
      </c>
      <c r="J42" s="1" t="s">
        <v>12</v>
      </c>
    </row>
    <row r="43" spans="1:10" x14ac:dyDescent="0.25">
      <c r="A43" s="1">
        <v>42</v>
      </c>
      <c r="B43" s="1" t="s">
        <v>67</v>
      </c>
      <c r="C43" s="1">
        <v>33</v>
      </c>
      <c r="D43" s="1" t="str">
        <f t="shared" si="1"/>
        <v>Adult</v>
      </c>
      <c r="E43" s="1" t="s">
        <v>21</v>
      </c>
      <c r="F43" s="1" t="s">
        <v>46</v>
      </c>
      <c r="G43" s="1">
        <v>89914</v>
      </c>
      <c r="H43" s="1">
        <v>4</v>
      </c>
      <c r="I43" s="1">
        <v>3</v>
      </c>
      <c r="J43" s="1" t="s">
        <v>12</v>
      </c>
    </row>
    <row r="44" spans="1:10" x14ac:dyDescent="0.25">
      <c r="A44" s="1">
        <v>43</v>
      </c>
      <c r="B44" s="1" t="s">
        <v>68</v>
      </c>
      <c r="C44" s="1">
        <v>31</v>
      </c>
      <c r="D44" s="1" t="str">
        <f t="shared" si="1"/>
        <v>Adult</v>
      </c>
      <c r="E44" s="1" t="s">
        <v>10</v>
      </c>
      <c r="F44" s="1" t="s">
        <v>11</v>
      </c>
      <c r="G44" s="1">
        <v>77722</v>
      </c>
      <c r="H44" s="1">
        <v>4</v>
      </c>
      <c r="I44" s="1">
        <v>3</v>
      </c>
      <c r="J44" s="1" t="s">
        <v>12</v>
      </c>
    </row>
    <row r="45" spans="1:10" x14ac:dyDescent="0.25">
      <c r="A45" s="1">
        <v>44</v>
      </c>
      <c r="B45" s="1" t="s">
        <v>69</v>
      </c>
      <c r="C45" s="1">
        <v>36</v>
      </c>
      <c r="D45" s="1" t="str">
        <f t="shared" si="1"/>
        <v>Senior</v>
      </c>
      <c r="E45" s="1" t="s">
        <v>21</v>
      </c>
      <c r="F45" s="1" t="s">
        <v>22</v>
      </c>
      <c r="G45" s="1">
        <v>45155</v>
      </c>
      <c r="H45" s="1">
        <v>12</v>
      </c>
      <c r="I45" s="1">
        <v>2</v>
      </c>
      <c r="J45" s="1" t="s">
        <v>16</v>
      </c>
    </row>
    <row r="46" spans="1:10" x14ac:dyDescent="0.25">
      <c r="A46" s="1">
        <v>45</v>
      </c>
      <c r="B46" s="1" t="s">
        <v>70</v>
      </c>
      <c r="C46" s="1">
        <v>43</v>
      </c>
      <c r="D46" s="1" t="str">
        <f t="shared" si="1"/>
        <v>Senior</v>
      </c>
      <c r="E46" s="1" t="s">
        <v>26</v>
      </c>
      <c r="F46" s="1" t="s">
        <v>27</v>
      </c>
      <c r="G46" s="1">
        <v>40192</v>
      </c>
      <c r="H46" s="1">
        <v>4</v>
      </c>
      <c r="I46" s="1">
        <v>2</v>
      </c>
      <c r="J46" s="1" t="s">
        <v>16</v>
      </c>
    </row>
    <row r="47" spans="1:10" x14ac:dyDescent="0.25">
      <c r="A47" s="1">
        <v>46</v>
      </c>
      <c r="B47" s="1" t="s">
        <v>71</v>
      </c>
      <c r="C47" s="1">
        <v>24</v>
      </c>
      <c r="D47" s="1" t="str">
        <f t="shared" si="1"/>
        <v>Young</v>
      </c>
      <c r="E47" s="1" t="s">
        <v>21</v>
      </c>
      <c r="F47" s="1" t="s">
        <v>22</v>
      </c>
      <c r="G47" s="1">
        <v>93488</v>
      </c>
      <c r="H47" s="1">
        <v>20</v>
      </c>
      <c r="I47" s="1">
        <v>2</v>
      </c>
      <c r="J47" s="1" t="s">
        <v>16</v>
      </c>
    </row>
    <row r="48" spans="1:10" x14ac:dyDescent="0.25">
      <c r="A48" s="1">
        <v>47</v>
      </c>
      <c r="B48" s="1" t="s">
        <v>72</v>
      </c>
      <c r="C48" s="1">
        <v>35</v>
      </c>
      <c r="D48" s="1" t="str">
        <f t="shared" si="1"/>
        <v>Adult</v>
      </c>
      <c r="E48" s="1" t="s">
        <v>36</v>
      </c>
      <c r="F48" s="1" t="s">
        <v>37</v>
      </c>
      <c r="G48" s="1">
        <v>116777</v>
      </c>
      <c r="H48" s="1">
        <v>13</v>
      </c>
      <c r="I48" s="1">
        <v>3</v>
      </c>
      <c r="J48" s="1" t="s">
        <v>12</v>
      </c>
    </row>
    <row r="49" spans="1:10" x14ac:dyDescent="0.25">
      <c r="A49" s="1">
        <v>48</v>
      </c>
      <c r="B49" s="1" t="s">
        <v>73</v>
      </c>
      <c r="C49" s="1">
        <v>30</v>
      </c>
      <c r="D49" s="1" t="str">
        <f t="shared" si="1"/>
        <v>Adult</v>
      </c>
      <c r="E49" s="1" t="s">
        <v>14</v>
      </c>
      <c r="F49" s="1" t="s">
        <v>15</v>
      </c>
      <c r="G49" s="1">
        <v>59675</v>
      </c>
      <c r="H49" s="1">
        <v>11</v>
      </c>
      <c r="I49" s="1">
        <v>4</v>
      </c>
      <c r="J49" s="1" t="s">
        <v>16</v>
      </c>
    </row>
    <row r="50" spans="1:10" x14ac:dyDescent="0.25">
      <c r="A50" s="1">
        <v>49</v>
      </c>
      <c r="B50" s="1" t="s">
        <v>74</v>
      </c>
      <c r="C50" s="1">
        <v>29</v>
      </c>
      <c r="D50" s="1" t="str">
        <f t="shared" si="1"/>
        <v>Adult</v>
      </c>
      <c r="E50" s="1" t="s">
        <v>14</v>
      </c>
      <c r="F50" s="1" t="s">
        <v>15</v>
      </c>
      <c r="G50" s="1">
        <v>55485</v>
      </c>
      <c r="H50" s="1">
        <v>10</v>
      </c>
      <c r="I50" s="1">
        <v>5</v>
      </c>
      <c r="J50" s="1" t="s">
        <v>16</v>
      </c>
    </row>
    <row r="51" spans="1:10" x14ac:dyDescent="0.25">
      <c r="A51" s="1">
        <v>50</v>
      </c>
      <c r="B51" s="1" t="s">
        <v>75</v>
      </c>
      <c r="C51" s="1">
        <v>29</v>
      </c>
      <c r="D51" s="1" t="str">
        <f t="shared" si="1"/>
        <v>Adult</v>
      </c>
      <c r="E51" s="1" t="s">
        <v>14</v>
      </c>
      <c r="F51" s="1" t="s">
        <v>19</v>
      </c>
      <c r="G51" s="1">
        <v>95165</v>
      </c>
      <c r="H51" s="1">
        <v>8</v>
      </c>
      <c r="I51" s="1">
        <v>2</v>
      </c>
      <c r="J51" s="1" t="s">
        <v>16</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600A1-9385-4A5F-99D9-5F02021EB13B}">
  <dimension ref="A1"/>
  <sheetViews>
    <sheetView showGridLines="0" tabSelected="1" zoomScale="90" zoomScaleNormal="90" workbookViewId="0">
      <selection activeCell="Q37" sqref="Q3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Department Wise Employee Count</vt:lpstr>
      <vt:lpstr>Employee Turnover by Department</vt:lpstr>
      <vt:lpstr>Age Group Distribution</vt:lpstr>
      <vt:lpstr>Monthly Income By Department</vt:lpstr>
      <vt:lpstr>Performance Rating Distribution</vt:lpstr>
      <vt:lpstr>HR Data</vt:lpstr>
      <vt:lpstr>Workforce Analytics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Sheikh Huzaifa</cp:lastModifiedBy>
  <dcterms:created xsi:type="dcterms:W3CDTF">2026-02-24T11:00:40Z</dcterms:created>
  <dcterms:modified xsi:type="dcterms:W3CDTF">2026-04-07T01:38:50Z</dcterms:modified>
</cp:coreProperties>
</file>