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D:\All Practice Proeject Files\Portfolios Of Excel\"/>
    </mc:Choice>
  </mc:AlternateContent>
  <xr:revisionPtr revIDLastSave="0" documentId="13_ncr:1_{D670D369-0807-4CAE-B147-841E02DC2425}" xr6:coauthVersionLast="47" xr6:coauthVersionMax="47" xr10:uidLastSave="{00000000-0000-0000-0000-000000000000}"/>
  <bookViews>
    <workbookView xWindow="-120" yWindow="-120" windowWidth="24240" windowHeight="13020" firstSheet="3" activeTab="6" xr2:uid="{00000000-000D-0000-FFFF-FFFF00000000}"/>
  </bookViews>
  <sheets>
    <sheet name="Sales Trend (Month-wise)" sheetId="2" r:id="rId1"/>
    <sheet name="Sales by Region" sheetId="3" r:id="rId2"/>
    <sheet name="Profit By Category" sheetId="4" r:id="rId3"/>
    <sheet name="Highest Revenue Generating Prod" sheetId="5" r:id="rId4"/>
    <sheet name="Sales by Gender" sheetId="6" r:id="rId5"/>
    <sheet name="Overall Data" sheetId="1" r:id="rId6"/>
    <sheet name="Revenue &amp; Product Insights" sheetId="7" r:id="rId7"/>
  </sheets>
  <definedNames>
    <definedName name="Slicer_Category">#N/A</definedName>
    <definedName name="Slicer_Gender">#N/A</definedName>
    <definedName name="Slicer_Months__Order_Date">#N/A</definedName>
    <definedName name="Slicer_Region">#N/A</definedName>
  </definedNames>
  <calcPr calcId="12451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<sst xmlns="http://schemas.openxmlformats.org/spreadsheetml/2006/main" count="645" uniqueCount="220">
  <si>
    <t>Order_ID</t>
  </si>
  <si>
    <t>Order_Date</t>
  </si>
  <si>
    <t>Customer_Name</t>
  </si>
  <si>
    <t>Gender</t>
  </si>
  <si>
    <t>Region</t>
  </si>
  <si>
    <t>Product_Name</t>
  </si>
  <si>
    <t>Category</t>
  </si>
  <si>
    <t>Quantity</t>
  </si>
  <si>
    <t>Sales_Amount</t>
  </si>
  <si>
    <t>Profit</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</si>
  <si>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</si>
  <si>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</si>
  <si>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</si>
  <si>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</si>
  <si>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</si>
  <si>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</si>
  <si>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</si>
  <si>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</si>
  <si>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</si>
  <si>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</si>
  <si>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</si>
  <si>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</si>
  <si>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</si>
  <si>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</si>
  <si>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</si>
  <si>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</si>
  <si>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</si>
  <si>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</si>
  <si>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</si>
  <si>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</si>
  <si>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</si>
  <si>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</si>
  <si>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</si>
  <si>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</si>
  <si>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</si>
  <si>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</si>
  <si>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</si>
  <si>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</si>
  <si>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</si>
  <si>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</si>
  <si>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</si>
  <si>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</si>
  <si>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</si>
  <si>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</si>
  <si>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</si>
  <si>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</si>
  <si>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</si>
  <si>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</si>
  <si>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</si>
  <si>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</si>
  <si>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</si>
  <si>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</si>
  <si>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</si>
  <si>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</si>
  <si>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</si>
  <si>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</si>
  <si>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</si>
  <si>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</si>
  <si>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</si>
  <si>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</si>
  <si>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</si>
  <si>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</si>
  <si>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</si>
  <si>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</si>
  <si>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</si>
  <si>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</si>
  <si>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</si>
  <si>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</si>
  <si>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</si>
  <si>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</si>
  <si>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</si>
  <si>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</si>
  <si>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</si>
  <si>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</si>
  <si>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</si>
  <si>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</si>
  <si>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</si>
  <si>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</si>
  <si>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</si>
  <si>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</si>
  <si>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</si>
  <si>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</si>
  <si>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</si>
  <si>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</si>
  <si>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</si>
  <si>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</si>
  <si>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</si>
  <si>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</si>
  <si>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</si>
  <si>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</si>
  <si>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</si>
  <si>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</si>
  <si>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</si>
  <si>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</si>
  <si>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</si>
  <si>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</si>
  <si>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</si>
  <si>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</si>
  <si>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</si>
  <si>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</si>
  <si>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</si>
  <si>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</si>
  <si>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</si>
  <si>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</si>
  <si>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</si>
  <si>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</si>
  <si>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</si>
  <si>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</si>
  <si>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</si>
  <si>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</si>
  <si>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Zara Sheikh</t>
  </si>
  <si>
    <t>Ali Sheikh</t>
  </si>
  <si>
    <t>Noor Ansari</t>
  </si>
  <si>
    <t>Ahmed Malik</t>
  </si>
  <si>
    <t>Zain Ahmed</t>
  </si>
  <si>
    <t>Laiba Sheikh</t>
  </si>
  <si>
    <t>Iqra Qureshi</t>
  </si>
  <si>
    <t>Usman Chaudhry</t>
  </si>
  <si>
    <t>Ayesha Butt</t>
  </si>
  <si>
    <t>Fatima Khan</t>
  </si>
  <si>
    <t>Farhan Raza</t>
  </si>
  <si>
    <t>Bilal Khan</t>
  </si>
  <si>
    <t>Saad Ansari</t>
  </si>
  <si>
    <t>Fatima Butt</t>
  </si>
  <si>
    <t>Iqra Chaudhry</t>
  </si>
  <si>
    <t>Bilal Siddiqui</t>
  </si>
  <si>
    <t>Noor Khan</t>
  </si>
  <si>
    <t>Hira Khan</t>
  </si>
  <si>
    <t>Ayesha Siddiqui</t>
  </si>
  <si>
    <t>Bilal Raza</t>
  </si>
  <si>
    <t>Hamza Khan</t>
  </si>
  <si>
    <t>Noor Qureshi</t>
  </si>
  <si>
    <t>Ali Malik</t>
  </si>
  <si>
    <t>Zain Ansari</t>
  </si>
  <si>
    <t>Bilal Ahmed</t>
  </si>
  <si>
    <t>Sana Ansari</t>
  </si>
  <si>
    <t>Saad Sheikh</t>
  </si>
  <si>
    <t>Hira Siddiqui</t>
  </si>
  <si>
    <t>Ali Raza</t>
  </si>
  <si>
    <t>Anaya Chaudhry</t>
  </si>
  <si>
    <t>Hira Ansari</t>
  </si>
  <si>
    <t>Usman Ansari</t>
  </si>
  <si>
    <t>Ahmed Chaudhry</t>
  </si>
  <si>
    <t>Sana Ahmed</t>
  </si>
  <si>
    <t>Mariam Butt</t>
  </si>
  <si>
    <t>Laiba Chaudhry</t>
  </si>
  <si>
    <t>Omar Ansari</t>
  </si>
  <si>
    <t>Farhan Siddiqui</t>
  </si>
  <si>
    <t>Zain Qureshi</t>
  </si>
  <si>
    <t>Anaya Raza</t>
  </si>
  <si>
    <t>Ayesha Ansari</t>
  </si>
  <si>
    <t>Fatima Ahmed</t>
  </si>
  <si>
    <t>Noor Sheikh</t>
  </si>
  <si>
    <t>Usman Raza</t>
  </si>
  <si>
    <t>Hamza Siddiqui</t>
  </si>
  <si>
    <t>Saad Butt</t>
  </si>
  <si>
    <t>Hira Qureshi</t>
  </si>
  <si>
    <t>Ali Qureshi</t>
  </si>
  <si>
    <t>Mariam Chaudhry</t>
  </si>
  <si>
    <t>Noor Malik</t>
  </si>
  <si>
    <t>Farhan Qureshi</t>
  </si>
  <si>
    <t>Mariam Malik</t>
  </si>
  <si>
    <t>Anaya Ahmed</t>
  </si>
  <si>
    <t>Iqra Butt</t>
  </si>
  <si>
    <t>Usman Ahmed</t>
  </si>
  <si>
    <t>Hamza Ahmed</t>
  </si>
  <si>
    <t>Farhan Khan</t>
  </si>
  <si>
    <t>Bilal Ansari</t>
  </si>
  <si>
    <t>Saad Siddiqui</t>
  </si>
  <si>
    <t>Fatima Malik</t>
  </si>
  <si>
    <t>Farhan Ansari</t>
  </si>
  <si>
    <t>Omar Malik</t>
  </si>
  <si>
    <t>Hassan Siddiqui</t>
  </si>
  <si>
    <t>Laiba Raza</t>
  </si>
  <si>
    <t>Ayesha Malik</t>
  </si>
  <si>
    <t>Anaya Ansari</t>
  </si>
  <si>
    <t>Ali Siddiqui</t>
  </si>
  <si>
    <t>Sana Raza</t>
  </si>
  <si>
    <t>Omar Khan</t>
  </si>
  <si>
    <t>Fatima Raza</t>
  </si>
  <si>
    <t>Sana Butt</t>
  </si>
  <si>
    <t>Iqra Raza</t>
  </si>
  <si>
    <t>Hassan Malik</t>
  </si>
  <si>
    <t>Hira Malik</t>
  </si>
  <si>
    <t>Anaya Siddiqui</t>
  </si>
  <si>
    <t>Bilal Chaudhry</t>
  </si>
  <si>
    <t>Zain Siddiqui</t>
  </si>
  <si>
    <t>Laiba Khan</t>
  </si>
  <si>
    <t>Bilal Butt</t>
  </si>
  <si>
    <t>Female</t>
  </si>
  <si>
    <t>Male</t>
  </si>
  <si>
    <t>West</t>
  </si>
  <si>
    <t>South</t>
  </si>
  <si>
    <t>North</t>
  </si>
  <si>
    <t>East</t>
  </si>
  <si>
    <t>Headphones</t>
  </si>
  <si>
    <t>Cabinet</t>
  </si>
  <si>
    <t>Table</t>
  </si>
  <si>
    <t>Jeans</t>
  </si>
  <si>
    <t>Jacket</t>
  </si>
  <si>
    <t>Shirt</t>
  </si>
  <si>
    <t>Mobile</t>
  </si>
  <si>
    <t>Laptop</t>
  </si>
  <si>
    <t>Tablet</t>
  </si>
  <si>
    <t>Chair</t>
  </si>
  <si>
    <t>Sofa</t>
  </si>
  <si>
    <t>Shoes</t>
  </si>
  <si>
    <t>Electronics</t>
  </si>
  <si>
    <t>Furniture</t>
  </si>
  <si>
    <t>Clothing</t>
  </si>
  <si>
    <t>Row Labels</t>
  </si>
  <si>
    <t>Grand Total</t>
  </si>
  <si>
    <t>Feb</t>
  </si>
  <si>
    <t>Sum of Sales_Amount</t>
  </si>
  <si>
    <t>Sum of Profit</t>
  </si>
  <si>
    <t>Jan</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</si>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</sst>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PKR]\ #,##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xf>
    <xf numFmtId="164" fontId="1" fillId="0" borderId="1" xfId="0" applyNumberFormat="1" applyFont="1" applyBorder="1" applyAlignment="1">
      <alignment horizontal="center"/>
    </xf>
    <xf numFmtId="0" fontId="0" fillId="0" borderId="0" xfId="0" applyAlignment="1">
      <alignment horizontal="center"/>
    </xf>
    <xf numFmtId="164" fontId="0" fillId="0" borderId="0" xfId="0" applyNumberFormat="1" applyAlignment="1">
      <alignment horizontal="center"/>
    </xf>
    <xf numFmtId="165" fontId="1" fillId="0" borderId="1" xfId="0" applyNumberFormat="1" applyFont="1" applyBorder="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4">
    <dxf>
      <numFmt numFmtId="165" formatCode="[$PKR]\ #,##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mmm\-yy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Portfolio.xlsx]Sales Trend (Month-wise)!PivotTable1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Trend (Month-wise)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3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888888888888896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633333333333333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68888888888889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4666666666666766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(Month-wise)'!$B$3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4F36-4325-8B0C-7C23CBAFBF50}"/>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ED9D-42C9-893A-78A55AD8471D}"/>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ED9D-42C9-893A-78A55AD8471D}"/>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ED9D-42C9-893A-78A55AD8471D}"/>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ED9D-42C9-893A-78A55AD8471D}"/>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ED9D-42C9-893A-78A55AD8471D}"/>
              </c:ext>
            </c:extLst>
          </c:dPt>
          <c:dLbls>
            <c:dLbl>
              <c:idx val="0"/>
              <c:layout>
                <c:manualLayout>
                  <c:x val="-6.3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36-4325-8B0C-7C23CBAFBF50}"/>
                </c:ext>
              </c:extLst>
            </c:dLbl>
            <c:dLbl>
              <c:idx val="1"/>
              <c:layout>
                <c:manualLayout>
                  <c:x val="-6.3E-2"/>
                  <c:y val="-8.79629629629629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9D-42C9-893A-78A55AD8471D}"/>
                </c:ext>
              </c:extLst>
            </c:dLbl>
            <c:dLbl>
              <c:idx val="2"/>
              <c:layout>
                <c:manualLayout>
                  <c:x val="-7.6888888888888896E-2"/>
                  <c:y val="7.87037037037037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9D-42C9-893A-78A55AD8471D}"/>
                </c:ext>
              </c:extLst>
            </c:dLbl>
            <c:dLbl>
              <c:idx val="3"/>
              <c:layout>
                <c:manualLayout>
                  <c:x val="-4.6333333333333331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9D-42C9-893A-78A55AD8471D}"/>
                </c:ext>
              </c:extLst>
            </c:dLbl>
            <c:dLbl>
              <c:idx val="4"/>
              <c:layout>
                <c:manualLayout>
                  <c:x val="-2.688888888888899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9D-42C9-893A-78A55AD8471D}"/>
                </c:ext>
              </c:extLst>
            </c:dLbl>
            <c:dLbl>
              <c:idx val="5"/>
              <c:layout>
                <c:manualLayout>
                  <c:x val="-5.4666666666666766E-2"/>
                  <c:y val="6.48148148148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9D-42C9-893A-78A55AD847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Trend (Month-wise)'!$A$4:$A$10</c:f>
              <c:strCache>
                <c:ptCount val="6"/>
                <c:pt idx="0">
                  <c:v>Jan</c:v>
                </c:pt>
                <c:pt idx="1">
                  <c:v>Feb</c:v>
                </c:pt>
                <c:pt idx="2">
                  <c:v>Mar</c:v>
                </c:pt>
                <c:pt idx="3">
                  <c:v>Apr</c:v>
                </c:pt>
                <c:pt idx="4">
                  <c:v>May</c:v>
                </c:pt>
                <c:pt idx="5">
                  <c:v>Jun</c:v>
                </c:pt>
              </c:strCache>
            </c:strRef>
          </c:cat>
          <c:val>
            <c:numRef>
              <c:f>'Sales Trend (Month-wise)'!$B$4:$B$10</c:f>
              <c:numCache>
                <c:formatCode>General</c:formatCode>
                <c:ptCount val="6"/>
                <c:pt idx="0">
                  <c:v>140377</c:v>
                </c:pt>
                <c:pt idx="1">
                  <c:v>356146</c:v>
                </c:pt>
                <c:pt idx="2">
                  <c:v>275184</c:v>
                </c:pt>
                <c:pt idx="3">
                  <c:v>253913</c:v>
                </c:pt>
                <c:pt idx="4">
                  <c:v>337728</c:v>
                </c:pt>
                <c:pt idx="5">
                  <c:v>263885</c:v>
                </c:pt>
              </c:numCache>
            </c:numRef>
          </c:val>
          <c:smooth val="0"/>
          <c:extLst>
            <c:ext xmlns:c16="http://schemas.microsoft.com/office/drawing/2014/chart" uri="{C3380CC4-5D6E-409C-BE32-E72D297353CC}">
              <c16:uniqueId val="{00000000-4F36-4325-8B0C-7C23CBAFBF50}"/>
            </c:ext>
          </c:extLst>
        </c:ser>
        <c:dLbls>
          <c:dLblPos val="ctr"/>
          <c:showLegendKey val="0"/>
          <c:showVal val="1"/>
          <c:showCatName val="0"/>
          <c:showSerName val="0"/>
          <c:showPercent val="0"/>
          <c:showBubbleSize val="0"/>
        </c:dLbls>
        <c:marker val="1"/>
        <c:smooth val="0"/>
        <c:axId val="604578399"/>
        <c:axId val="604578879"/>
      </c:lineChart>
      <c:catAx>
        <c:axId val="6045783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578879"/>
        <c:crosses val="autoZero"/>
        <c:auto val="1"/>
        <c:lblAlgn val="ctr"/>
        <c:lblOffset val="100"/>
        <c:noMultiLvlLbl val="0"/>
      </c:catAx>
      <c:valAx>
        <c:axId val="604578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57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Portfolio.xlsx]Sales by Region!PivotTable2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accent2">
            <a:lumMod val="7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Region'!$B$3</c:f>
              <c:strCache>
                <c:ptCount val="1"/>
                <c:pt idx="0">
                  <c:v>Total</c:v>
                </c:pt>
              </c:strCache>
            </c:strRef>
          </c:tx>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240635</c:v>
                </c:pt>
                <c:pt idx="1">
                  <c:v>415756</c:v>
                </c:pt>
                <c:pt idx="2">
                  <c:v>650559</c:v>
                </c:pt>
                <c:pt idx="3">
                  <c:v>320283</c:v>
                </c:pt>
              </c:numCache>
            </c:numRef>
          </c:val>
          <c:extLst>
            <c:ext xmlns:c16="http://schemas.microsoft.com/office/drawing/2014/chart" uri="{C3380CC4-5D6E-409C-BE32-E72D297353CC}">
              <c16:uniqueId val="{00000000-8BB5-4AB8-8822-343E0870CFC0}"/>
            </c:ext>
          </c:extLst>
        </c:ser>
        <c:dLbls>
          <c:showLegendKey val="0"/>
          <c:showVal val="0"/>
          <c:showCatName val="0"/>
          <c:showSerName val="0"/>
          <c:showPercent val="0"/>
          <c:showBubbleSize val="0"/>
        </c:dLbls>
        <c:gapWidth val="65"/>
        <c:shape val="box"/>
        <c:axId val="1037476991"/>
        <c:axId val="1037484671"/>
        <c:axId val="0"/>
      </c:bar3DChart>
      <c:catAx>
        <c:axId val="1037476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037484671"/>
        <c:crosses val="autoZero"/>
        <c:auto val="1"/>
        <c:lblAlgn val="ctr"/>
        <c:lblOffset val="100"/>
        <c:noMultiLvlLbl val="0"/>
      </c:catAx>
      <c:valAx>
        <c:axId val="103748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037476991"/>
        <c:crosses val="autoZero"/>
        <c:crossBetween val="between"/>
      </c:valAx>
      <c:spPr>
        <a:solidFill>
          <a:schemeClr val="accent6">
            <a:lumMod val="40000"/>
            <a:lumOff val="60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Portfolio.xlsx]Profit By Category!PivotTable3</c:name>
    <c:fmtId val="0"/>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Profit by Category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a:sp3d/>
        </c:spPr>
        <c:dLbl>
          <c:idx val="0"/>
          <c:layout>
            <c:manualLayout>
              <c:x val="2.777777777777772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sp3d/>
        </c:spPr>
        <c:dLbl>
          <c:idx val="0"/>
          <c:layout>
            <c:manualLayout>
              <c:x val="5.8333333333333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sp3d/>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'Profit By Category'!$B$3</c:f>
              <c:strCache>
                <c:ptCount val="1"/>
                <c:pt idx="0">
                  <c:v>Total</c:v>
                </c:pt>
              </c:strCache>
            </c:strRef>
          </c:tx>
          <c:spPr>
            <a:solidFill>
              <a:schemeClr val="accent1">
                <a:lumMod val="40000"/>
                <a:lumOff val="60000"/>
              </a:schemeClr>
            </a:solidFill>
            <a:ln>
              <a:noFill/>
            </a:ln>
            <a:effectLst/>
            <a:sp3d/>
          </c:spPr>
          <c:invertIfNegative val="0"/>
          <c:dPt>
            <c:idx val="0"/>
            <c:invertIfNegative val="0"/>
            <c:bubble3D val="0"/>
            <c:extLst>
              <c:ext xmlns:c16="http://schemas.microsoft.com/office/drawing/2014/chart" uri="{C3380CC4-5D6E-409C-BE32-E72D297353CC}">
                <c16:uniqueId val="{00000002-4892-45C0-8425-2ED9244B01B7}"/>
              </c:ext>
            </c:extLst>
          </c:dPt>
          <c:dPt>
            <c:idx val="1"/>
            <c:invertIfNegative val="0"/>
            <c:bubble3D val="0"/>
            <c:extLst>
              <c:ext xmlns:c16="http://schemas.microsoft.com/office/drawing/2014/chart" uri="{C3380CC4-5D6E-409C-BE32-E72D297353CC}">
                <c16:uniqueId val="{00000001-3AAC-485A-BE5D-9649B32FCDDC}"/>
              </c:ext>
            </c:extLst>
          </c:dPt>
          <c:dPt>
            <c:idx val="2"/>
            <c:invertIfNegative val="0"/>
            <c:bubble3D val="0"/>
            <c:spPr>
              <a:solidFill>
                <a:schemeClr val="accent1">
                  <a:lumMod val="40000"/>
                  <a:lumOff val="60000"/>
                </a:schemeClr>
              </a:solidFill>
              <a:ln>
                <a:noFill/>
              </a:ln>
              <a:effectLst/>
              <a:sp3d/>
            </c:spPr>
            <c:extLst>
              <c:ext xmlns:c16="http://schemas.microsoft.com/office/drawing/2014/chart" uri="{C3380CC4-5D6E-409C-BE32-E72D297353CC}">
                <c16:uniqueId val="{00000003-3AAC-485A-BE5D-9649B32FCDDC}"/>
              </c:ext>
            </c:extLst>
          </c:dPt>
          <c:dLbls>
            <c:dLbl>
              <c:idx val="0"/>
              <c:layout>
                <c:manualLayout>
                  <c:x val="2.7777777777777728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92-45C0-8425-2ED9244B01B7}"/>
                </c:ext>
              </c:extLst>
            </c:dLbl>
            <c:dLbl>
              <c:idx val="1"/>
              <c:layout>
                <c:manualLayout>
                  <c:x val="5.833333333333323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AC-485A-BE5D-9649B32FCDDC}"/>
                </c:ext>
              </c:extLst>
            </c:dLbl>
            <c:dLbl>
              <c:idx val="2"/>
              <c:layout>
                <c:manualLayout>
                  <c:x val="6.388888888888888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AC-485A-BE5D-9649B32FCD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Clothing</c:v>
                </c:pt>
                <c:pt idx="1">
                  <c:v>Electronics</c:v>
                </c:pt>
                <c:pt idx="2">
                  <c:v>Furniture</c:v>
                </c:pt>
              </c:strCache>
            </c:strRef>
          </c:cat>
          <c:val>
            <c:numRef>
              <c:f>'Profit By Category'!$B$4:$B$7</c:f>
              <c:numCache>
                <c:formatCode>[$PKR]\ #,##0</c:formatCode>
                <c:ptCount val="3"/>
                <c:pt idx="0">
                  <c:v>102171.35000000003</c:v>
                </c:pt>
                <c:pt idx="1">
                  <c:v>124922.15</c:v>
                </c:pt>
                <c:pt idx="2">
                  <c:v>71521.589999999982</c:v>
                </c:pt>
              </c:numCache>
            </c:numRef>
          </c:val>
          <c:extLst>
            <c:ext xmlns:c16="http://schemas.microsoft.com/office/drawing/2014/chart" uri="{C3380CC4-5D6E-409C-BE32-E72D297353CC}">
              <c16:uniqueId val="{00000000-4892-45C0-8425-2ED9244B01B7}"/>
            </c:ext>
          </c:extLst>
        </c:ser>
        <c:dLbls>
          <c:showLegendKey val="0"/>
          <c:showVal val="0"/>
          <c:showCatName val="0"/>
          <c:showSerName val="0"/>
          <c:showPercent val="0"/>
          <c:showBubbleSize val="0"/>
        </c:dLbls>
        <c:gapWidth val="150"/>
        <c:shape val="box"/>
        <c:axId val="1030964735"/>
        <c:axId val="1030965215"/>
        <c:axId val="880105775"/>
      </c:bar3DChart>
      <c:catAx>
        <c:axId val="103096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0965215"/>
        <c:crosses val="autoZero"/>
        <c:auto val="1"/>
        <c:lblAlgn val="ctr"/>
        <c:lblOffset val="100"/>
        <c:noMultiLvlLbl val="0"/>
      </c:catAx>
      <c:valAx>
        <c:axId val="1030965215"/>
        <c:scaling>
          <c:orientation val="minMax"/>
        </c:scaling>
        <c:delete val="0"/>
        <c:axPos val="l"/>
        <c:numFmt formatCode="[$PKR]\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0964735"/>
        <c:crosses val="autoZero"/>
        <c:crossBetween val="between"/>
      </c:valAx>
      <c:serAx>
        <c:axId val="880105775"/>
        <c:scaling>
          <c:orientation val="minMax"/>
        </c:scaling>
        <c:delete val="1"/>
        <c:axPos val="b"/>
        <c:majorTickMark val="none"/>
        <c:minorTickMark val="none"/>
        <c:tickLblPos val="nextTo"/>
        <c:crossAx val="10309652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Portfolio.xlsx]Highest Revenue Generating Prod!PivotTable4</c:name>
    <c:fmtId val="0"/>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Highest Revenue Generating Products</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rgbClr val="00B050"/>
          </a:solidFill>
          <a:ln>
            <a:noFill/>
          </a:ln>
          <a:effectLst/>
          <a:scene3d>
            <a:camera prst="orthographicFront"/>
            <a:lightRig rig="threePt" dir="t"/>
          </a:scene3d>
          <a:sp3d>
            <a:bevelT prst="convex"/>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'Highest Revenue Generating Prod'!$B$3</c:f>
              <c:strCache>
                <c:ptCount val="1"/>
                <c:pt idx="0">
                  <c:v>Total</c:v>
                </c:pt>
              </c:strCache>
            </c:strRef>
          </c:tx>
          <c:spPr>
            <a:solidFill>
              <a:srgbClr val="00B050"/>
            </a:solidFill>
            <a:ln>
              <a:noFill/>
            </a:ln>
            <a:effectLst/>
            <a:scene3d>
              <a:camera prst="orthographicFront"/>
              <a:lightRig rig="threePt" dir="t"/>
            </a:scene3d>
            <a:sp3d>
              <a:bevelT prst="convex"/>
              <a:bevelB w="114300" prst="artDeco"/>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Revenue Generating Prod'!$A$4:$A$9</c:f>
              <c:strCache>
                <c:ptCount val="5"/>
                <c:pt idx="0">
                  <c:v>Chair</c:v>
                </c:pt>
                <c:pt idx="1">
                  <c:v>Headphones</c:v>
                </c:pt>
                <c:pt idx="2">
                  <c:v>Jacket</c:v>
                </c:pt>
                <c:pt idx="3">
                  <c:v>Mobile</c:v>
                </c:pt>
                <c:pt idx="4">
                  <c:v>Tablet</c:v>
                </c:pt>
              </c:strCache>
            </c:strRef>
          </c:cat>
          <c:val>
            <c:numRef>
              <c:f>'Highest Revenue Generating Prod'!$B$4:$B$9</c:f>
              <c:numCache>
                <c:formatCode>General</c:formatCode>
                <c:ptCount val="5"/>
                <c:pt idx="0">
                  <c:v>152618</c:v>
                </c:pt>
                <c:pt idx="1">
                  <c:v>151819</c:v>
                </c:pt>
                <c:pt idx="2">
                  <c:v>205142</c:v>
                </c:pt>
                <c:pt idx="3">
                  <c:v>190764</c:v>
                </c:pt>
                <c:pt idx="4">
                  <c:v>218061</c:v>
                </c:pt>
              </c:numCache>
            </c:numRef>
          </c:val>
          <c:extLst>
            <c:ext xmlns:c16="http://schemas.microsoft.com/office/drawing/2014/chart" uri="{C3380CC4-5D6E-409C-BE32-E72D297353CC}">
              <c16:uniqueId val="{00000000-6618-480A-ACDF-3A0F59B6F9CB}"/>
            </c:ext>
          </c:extLst>
        </c:ser>
        <c:dLbls>
          <c:showLegendKey val="0"/>
          <c:showVal val="1"/>
          <c:showCatName val="0"/>
          <c:showSerName val="0"/>
          <c:showPercent val="0"/>
          <c:showBubbleSize val="0"/>
        </c:dLbls>
        <c:gapWidth val="150"/>
        <c:shape val="box"/>
        <c:axId val="1037492351"/>
        <c:axId val="1037469791"/>
        <c:axId val="0"/>
      </c:bar3DChart>
      <c:catAx>
        <c:axId val="103749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7469791"/>
        <c:crosses val="autoZero"/>
        <c:auto val="1"/>
        <c:lblAlgn val="ctr"/>
        <c:lblOffset val="100"/>
        <c:noMultiLvlLbl val="0"/>
      </c:catAx>
      <c:valAx>
        <c:axId val="103746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749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Portfolio.xlsx]Sales by Gender!PivotTable1</c:name>
    <c:fmtId val="8"/>
  </c:pivotSource>
  <c:chart>
    <c:title>
      <c:tx>
        <c:rich>
          <a:bodyPr rot="0" spcFirstLastPara="1" vertOverflow="ellipsis" vert="horz" wrap="square" anchor="ctr" anchorCtr="1"/>
          <a:lstStyle/>
          <a:p>
            <a:pPr>
              <a:defRPr sz="1800" b="1" i="0" u="none" strike="noStrike" kern="1200" cap="all" baseline="0">
                <a:solidFill>
                  <a:schemeClr val="bg2"/>
                </a:solidFill>
                <a:latin typeface="+mn-lt"/>
                <a:ea typeface="+mn-ea"/>
                <a:cs typeface="+mn-cs"/>
              </a:defRPr>
            </a:pPr>
            <a:r>
              <a:rPr lang="en-US">
                <a:solidFill>
                  <a:schemeClr val="bg2"/>
                </a:solidFill>
              </a:rPr>
              <a:t>Sales by Gender </a:t>
            </a:r>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lumMod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2"/>
        <c:spPr>
          <a:solidFill>
            <a:schemeClr val="bg2">
              <a:lumMod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Gender'!$B$3</c:f>
              <c:strCache>
                <c:ptCount val="1"/>
                <c:pt idx="0">
                  <c:v>Total</c:v>
                </c:pt>
              </c:strCache>
            </c:strRef>
          </c:tx>
          <c:dPt>
            <c:idx val="0"/>
            <c:bubble3D val="0"/>
            <c:spPr>
              <a:solidFill>
                <a:schemeClr val="bg2">
                  <a:lumMod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0823-4712-BB26-FC7B15C6A041}"/>
              </c:ext>
            </c:extLst>
          </c:dPt>
          <c:dPt>
            <c:idx val="1"/>
            <c:bubble3D val="0"/>
            <c:spPr>
              <a:solidFill>
                <a:schemeClr val="bg2">
                  <a:lumMod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7762-4D4D-BFF9-992BCD27A216}"/>
              </c:ext>
            </c:extLst>
          </c:dPt>
          <c:dLbls>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'Sales by Gender'!$A$4:$A$6</c:f>
              <c:strCache>
                <c:ptCount val="2"/>
                <c:pt idx="0">
                  <c:v>Female</c:v>
                </c:pt>
                <c:pt idx="1">
                  <c:v>Male</c:v>
                </c:pt>
              </c:strCache>
            </c:strRef>
          </c:cat>
          <c:val>
            <c:numRef>
              <c:f>'Sales by Gender'!$B$4:$B$6</c:f>
              <c:numCache>
                <c:formatCode>General</c:formatCode>
                <c:ptCount val="2"/>
                <c:pt idx="0">
                  <c:v>663086</c:v>
                </c:pt>
                <c:pt idx="1">
                  <c:v>964147</c:v>
                </c:pt>
              </c:numCache>
            </c:numRef>
          </c:val>
          <c:extLst>
            <c:ext xmlns:c16="http://schemas.microsoft.com/office/drawing/2014/chart" uri="{C3380CC4-5D6E-409C-BE32-E72D297353CC}">
              <c16:uniqueId val="{00000000-0823-4712-BB26-FC7B15C6A041}"/>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Portfolio.xlsx]Sales Trend (Month-wise)!PivotTable1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Trend (Month-wise)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3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888888888888896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633333333333333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68888888888889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4666666666666766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3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6888888888888896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6333333333333331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688888888888899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4666666666666766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7466063348416311E-2"/>
              <c:y val="-8.03518482956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'Sales Trend (Month-wise)'!$B$3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36ED-41B0-BF9E-FB429E4082E4}"/>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36ED-41B0-BF9E-FB429E4082E4}"/>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36ED-41B0-BF9E-FB429E4082E4}"/>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36ED-41B0-BF9E-FB429E4082E4}"/>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36ED-41B0-BF9E-FB429E4082E4}"/>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36ED-41B0-BF9E-FB429E4082E4}"/>
              </c:ext>
            </c:extLst>
          </c:dPt>
          <c:dLbls>
            <c:dLbl>
              <c:idx val="0"/>
              <c:layout>
                <c:manualLayout>
                  <c:x val="-7.7466063348416311E-2"/>
                  <c:y val="-8.0351848295626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ED-41B0-BF9E-FB429E408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Trend (Month-wise)'!$A$4:$A$10</c:f>
              <c:strCache>
                <c:ptCount val="6"/>
                <c:pt idx="0">
                  <c:v>Jan</c:v>
                </c:pt>
                <c:pt idx="1">
                  <c:v>Feb</c:v>
                </c:pt>
                <c:pt idx="2">
                  <c:v>Mar</c:v>
                </c:pt>
                <c:pt idx="3">
                  <c:v>Apr</c:v>
                </c:pt>
                <c:pt idx="4">
                  <c:v>May</c:v>
                </c:pt>
                <c:pt idx="5">
                  <c:v>Jun</c:v>
                </c:pt>
              </c:strCache>
            </c:strRef>
          </c:cat>
          <c:val>
            <c:numRef>
              <c:f>'Sales Trend (Month-wise)'!$B$4:$B$10</c:f>
              <c:numCache>
                <c:formatCode>General</c:formatCode>
                <c:ptCount val="6"/>
                <c:pt idx="0">
                  <c:v>140377</c:v>
                </c:pt>
                <c:pt idx="1">
                  <c:v>356146</c:v>
                </c:pt>
                <c:pt idx="2">
                  <c:v>275184</c:v>
                </c:pt>
                <c:pt idx="3">
                  <c:v>253913</c:v>
                </c:pt>
                <c:pt idx="4">
                  <c:v>337728</c:v>
                </c:pt>
                <c:pt idx="5">
                  <c:v>263885</c:v>
                </c:pt>
              </c:numCache>
            </c:numRef>
          </c:val>
          <c:smooth val="0"/>
          <c:extLst>
            <c:ext xmlns:c16="http://schemas.microsoft.com/office/drawing/2014/chart" uri="{C3380CC4-5D6E-409C-BE32-E72D297353CC}">
              <c16:uniqueId val="{0000000C-36ED-41B0-BF9E-FB429E4082E4}"/>
            </c:ext>
          </c:extLst>
        </c:ser>
        <c:dLbls>
          <c:dLblPos val="t"/>
          <c:showLegendKey val="0"/>
          <c:showVal val="1"/>
          <c:showCatName val="0"/>
          <c:showSerName val="0"/>
          <c:showPercent val="0"/>
          <c:showBubbleSize val="0"/>
        </c:dLbls>
        <c:marker val="1"/>
        <c:smooth val="0"/>
        <c:axId val="604578399"/>
        <c:axId val="604578879"/>
      </c:lineChart>
      <c:catAx>
        <c:axId val="6045783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578879"/>
        <c:crosses val="autoZero"/>
        <c:auto val="1"/>
        <c:lblAlgn val="ctr"/>
        <c:lblOffset val="100"/>
        <c:noMultiLvlLbl val="0"/>
      </c:catAx>
      <c:valAx>
        <c:axId val="604578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57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Portfolio.xlsx]Sales by Region!PivotTable2</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accent2">
            <a:lumMod val="7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Region'!$B$3</c:f>
              <c:strCache>
                <c:ptCount val="1"/>
                <c:pt idx="0">
                  <c:v>Total</c:v>
                </c:pt>
              </c:strCache>
            </c:strRef>
          </c:tx>
          <c:spPr>
            <a:solidFill>
              <a:schemeClr val="accent5"/>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240635</c:v>
                </c:pt>
                <c:pt idx="1">
                  <c:v>415756</c:v>
                </c:pt>
                <c:pt idx="2">
                  <c:v>650559</c:v>
                </c:pt>
                <c:pt idx="3">
                  <c:v>320283</c:v>
                </c:pt>
              </c:numCache>
            </c:numRef>
          </c:val>
          <c:extLst>
            <c:ext xmlns:c16="http://schemas.microsoft.com/office/drawing/2014/chart" uri="{C3380CC4-5D6E-409C-BE32-E72D297353CC}">
              <c16:uniqueId val="{00000000-1F20-41C0-B114-663CD3559848}"/>
            </c:ext>
          </c:extLst>
        </c:ser>
        <c:dLbls>
          <c:showLegendKey val="0"/>
          <c:showVal val="0"/>
          <c:showCatName val="0"/>
          <c:showSerName val="0"/>
          <c:showPercent val="0"/>
          <c:showBubbleSize val="0"/>
        </c:dLbls>
        <c:gapWidth val="65"/>
        <c:shape val="box"/>
        <c:axId val="1037476991"/>
        <c:axId val="1037484671"/>
        <c:axId val="0"/>
      </c:bar3DChart>
      <c:catAx>
        <c:axId val="1037476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037484671"/>
        <c:crosses val="autoZero"/>
        <c:auto val="1"/>
        <c:lblAlgn val="ctr"/>
        <c:lblOffset val="100"/>
        <c:noMultiLvlLbl val="0"/>
      </c:catAx>
      <c:valAx>
        <c:axId val="103748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037476991"/>
        <c:crosses val="autoZero"/>
        <c:crossBetween val="between"/>
      </c:valAx>
      <c:spPr>
        <a:solidFill>
          <a:schemeClr val="accent6">
            <a:lumMod val="40000"/>
            <a:lumOff val="60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Portfolio.xlsx]Profit By Category!PivotTable3</c:name>
    <c:fmtId val="8"/>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Profit by Category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a:sp3d/>
        </c:spPr>
        <c:dLbl>
          <c:idx val="0"/>
          <c:layout>
            <c:manualLayout>
              <c:x val="2.777777777777772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sp3d/>
        </c:spPr>
        <c:dLbl>
          <c:idx val="0"/>
          <c:layout>
            <c:manualLayout>
              <c:x val="5.8333333333333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sp3d/>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a:sp3d/>
        </c:spPr>
        <c:dLbl>
          <c:idx val="0"/>
          <c:layout>
            <c:manualLayout>
              <c:x val="2.777777777777772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a:sp3d/>
        </c:spPr>
        <c:dLbl>
          <c:idx val="0"/>
          <c:layout>
            <c:manualLayout>
              <c:x val="5.8333333333333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a:sp3d/>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a:sp3d/>
        </c:spPr>
        <c:dLbl>
          <c:idx val="0"/>
          <c:layout>
            <c:manualLayout>
              <c:x val="2.777777777777772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40000"/>
              <a:lumOff val="60000"/>
            </a:schemeClr>
          </a:solidFill>
          <a:ln>
            <a:noFill/>
          </a:ln>
          <a:effectLst/>
          <a:sp3d/>
        </c:spPr>
        <c:dLbl>
          <c:idx val="0"/>
          <c:layout>
            <c:manualLayout>
              <c:x val="5.8333333333333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a:sp3d/>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'Profit By Category'!$B$3</c:f>
              <c:strCache>
                <c:ptCount val="1"/>
                <c:pt idx="0">
                  <c:v>Total</c:v>
                </c:pt>
              </c:strCache>
            </c:strRef>
          </c:tx>
          <c:spPr>
            <a:solidFill>
              <a:schemeClr val="accent1">
                <a:lumMod val="40000"/>
                <a:lumOff val="60000"/>
              </a:schemeClr>
            </a:solidFill>
            <a:ln>
              <a:noFill/>
            </a:ln>
            <a:effectLst/>
            <a:sp3d/>
          </c:spPr>
          <c:invertIfNegative val="0"/>
          <c:dPt>
            <c:idx val="0"/>
            <c:invertIfNegative val="0"/>
            <c:bubble3D val="0"/>
            <c:spPr>
              <a:solidFill>
                <a:schemeClr val="accent1">
                  <a:lumMod val="40000"/>
                  <a:lumOff val="60000"/>
                </a:schemeClr>
              </a:solidFill>
              <a:ln>
                <a:noFill/>
              </a:ln>
              <a:effectLst/>
              <a:sp3d/>
            </c:spPr>
            <c:extLst>
              <c:ext xmlns:c16="http://schemas.microsoft.com/office/drawing/2014/chart" uri="{C3380CC4-5D6E-409C-BE32-E72D297353CC}">
                <c16:uniqueId val="{00000001-7B0A-4107-93CE-E1F42FF18329}"/>
              </c:ext>
            </c:extLst>
          </c:dPt>
          <c:dPt>
            <c:idx val="1"/>
            <c:invertIfNegative val="0"/>
            <c:bubble3D val="0"/>
            <c:spPr>
              <a:solidFill>
                <a:schemeClr val="accent1">
                  <a:lumMod val="40000"/>
                  <a:lumOff val="60000"/>
                </a:schemeClr>
              </a:solidFill>
              <a:ln>
                <a:noFill/>
              </a:ln>
              <a:effectLst/>
              <a:sp3d/>
            </c:spPr>
            <c:extLst>
              <c:ext xmlns:c16="http://schemas.microsoft.com/office/drawing/2014/chart" uri="{C3380CC4-5D6E-409C-BE32-E72D297353CC}">
                <c16:uniqueId val="{00000003-7B0A-4107-93CE-E1F42FF18329}"/>
              </c:ext>
            </c:extLst>
          </c:dPt>
          <c:dPt>
            <c:idx val="2"/>
            <c:invertIfNegative val="0"/>
            <c:bubble3D val="0"/>
            <c:spPr>
              <a:solidFill>
                <a:schemeClr val="accent1">
                  <a:lumMod val="40000"/>
                  <a:lumOff val="60000"/>
                </a:schemeClr>
              </a:solidFill>
              <a:ln>
                <a:noFill/>
              </a:ln>
              <a:effectLst/>
              <a:sp3d/>
            </c:spPr>
            <c:extLst>
              <c:ext xmlns:c16="http://schemas.microsoft.com/office/drawing/2014/chart" uri="{C3380CC4-5D6E-409C-BE32-E72D297353CC}">
                <c16:uniqueId val="{00000005-7B0A-4107-93CE-E1F42FF18329}"/>
              </c:ext>
            </c:extLst>
          </c:dPt>
          <c:dLbls>
            <c:dLbl>
              <c:idx val="0"/>
              <c:layout>
                <c:manualLayout>
                  <c:x val="2.7777777777777728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0A-4107-93CE-E1F42FF18329}"/>
                </c:ext>
              </c:extLst>
            </c:dLbl>
            <c:dLbl>
              <c:idx val="1"/>
              <c:layout>
                <c:manualLayout>
                  <c:x val="5.833333333333323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0A-4107-93CE-E1F42FF18329}"/>
                </c:ext>
              </c:extLst>
            </c:dLbl>
            <c:dLbl>
              <c:idx val="2"/>
              <c:layout>
                <c:manualLayout>
                  <c:x val="6.388888888888888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0A-4107-93CE-E1F42FF183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Clothing</c:v>
                </c:pt>
                <c:pt idx="1">
                  <c:v>Electronics</c:v>
                </c:pt>
                <c:pt idx="2">
                  <c:v>Furniture</c:v>
                </c:pt>
              </c:strCache>
            </c:strRef>
          </c:cat>
          <c:val>
            <c:numRef>
              <c:f>'Profit By Category'!$B$4:$B$7</c:f>
              <c:numCache>
                <c:formatCode>[$PKR]\ #,##0</c:formatCode>
                <c:ptCount val="3"/>
                <c:pt idx="0">
                  <c:v>102171.35000000003</c:v>
                </c:pt>
                <c:pt idx="1">
                  <c:v>124922.15</c:v>
                </c:pt>
                <c:pt idx="2">
                  <c:v>71521.589999999982</c:v>
                </c:pt>
              </c:numCache>
            </c:numRef>
          </c:val>
          <c:extLst>
            <c:ext xmlns:c16="http://schemas.microsoft.com/office/drawing/2014/chart" uri="{C3380CC4-5D6E-409C-BE32-E72D297353CC}">
              <c16:uniqueId val="{00000006-7B0A-4107-93CE-E1F42FF18329}"/>
            </c:ext>
          </c:extLst>
        </c:ser>
        <c:dLbls>
          <c:showLegendKey val="0"/>
          <c:showVal val="0"/>
          <c:showCatName val="0"/>
          <c:showSerName val="0"/>
          <c:showPercent val="0"/>
          <c:showBubbleSize val="0"/>
        </c:dLbls>
        <c:gapWidth val="150"/>
        <c:shape val="box"/>
        <c:axId val="1030964735"/>
        <c:axId val="1030965215"/>
        <c:axId val="880105775"/>
      </c:bar3DChart>
      <c:catAx>
        <c:axId val="103096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0965215"/>
        <c:crosses val="autoZero"/>
        <c:auto val="1"/>
        <c:lblAlgn val="ctr"/>
        <c:lblOffset val="100"/>
        <c:noMultiLvlLbl val="0"/>
      </c:catAx>
      <c:valAx>
        <c:axId val="1030965215"/>
        <c:scaling>
          <c:orientation val="minMax"/>
        </c:scaling>
        <c:delete val="0"/>
        <c:axPos val="l"/>
        <c:numFmt formatCode="[$PKR]\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0964735"/>
        <c:crosses val="autoZero"/>
        <c:crossBetween val="between"/>
      </c:valAx>
      <c:serAx>
        <c:axId val="880105775"/>
        <c:scaling>
          <c:orientation val="minMax"/>
        </c:scaling>
        <c:delete val="1"/>
        <c:axPos val="b"/>
        <c:majorTickMark val="none"/>
        <c:minorTickMark val="none"/>
        <c:tickLblPos val="nextTo"/>
        <c:crossAx val="10309652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Portfolio.xlsx]Highest Revenue Generating Prod!PivotTable4</c:name>
    <c:fmtId val="5"/>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Highest Revenue Generating Products</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rgbClr val="00B050"/>
          </a:solidFill>
          <a:ln>
            <a:noFill/>
          </a:ln>
          <a:effectLst/>
          <a:scene3d>
            <a:camera prst="orthographicFront"/>
            <a:lightRig rig="threePt" dir="t"/>
          </a:scene3d>
          <a:sp3d>
            <a:bevelT prst="convex"/>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threePt" dir="t"/>
          </a:scene3d>
          <a:sp3d>
            <a:bevelT prst="convex"/>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cene3d>
            <a:camera prst="orthographicFront"/>
            <a:lightRig rig="threePt" dir="t"/>
          </a:scene3d>
          <a:sp3d>
            <a:bevelT prst="convex"/>
            <a:bevelB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'Highest Revenue Generating Prod'!$B$3</c:f>
              <c:strCache>
                <c:ptCount val="1"/>
                <c:pt idx="0">
                  <c:v>Total</c:v>
                </c:pt>
              </c:strCache>
            </c:strRef>
          </c:tx>
          <c:spPr>
            <a:solidFill>
              <a:srgbClr val="00B050"/>
            </a:solidFill>
            <a:ln>
              <a:noFill/>
            </a:ln>
            <a:effectLst/>
            <a:scene3d>
              <a:camera prst="orthographicFront"/>
              <a:lightRig rig="threePt" dir="t"/>
            </a:scene3d>
            <a:sp3d>
              <a:bevelT prst="convex"/>
              <a:bevelB w="114300" prst="artDeco"/>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Revenue Generating Prod'!$A$4:$A$9</c:f>
              <c:strCache>
                <c:ptCount val="5"/>
                <c:pt idx="0">
                  <c:v>Chair</c:v>
                </c:pt>
                <c:pt idx="1">
                  <c:v>Headphones</c:v>
                </c:pt>
                <c:pt idx="2">
                  <c:v>Jacket</c:v>
                </c:pt>
                <c:pt idx="3">
                  <c:v>Mobile</c:v>
                </c:pt>
                <c:pt idx="4">
                  <c:v>Tablet</c:v>
                </c:pt>
              </c:strCache>
            </c:strRef>
          </c:cat>
          <c:val>
            <c:numRef>
              <c:f>'Highest Revenue Generating Prod'!$B$4:$B$9</c:f>
              <c:numCache>
                <c:formatCode>General</c:formatCode>
                <c:ptCount val="5"/>
                <c:pt idx="0">
                  <c:v>152618</c:v>
                </c:pt>
                <c:pt idx="1">
                  <c:v>151819</c:v>
                </c:pt>
                <c:pt idx="2">
                  <c:v>205142</c:v>
                </c:pt>
                <c:pt idx="3">
                  <c:v>190764</c:v>
                </c:pt>
                <c:pt idx="4">
                  <c:v>218061</c:v>
                </c:pt>
              </c:numCache>
            </c:numRef>
          </c:val>
          <c:extLst>
            <c:ext xmlns:c16="http://schemas.microsoft.com/office/drawing/2014/chart" uri="{C3380CC4-5D6E-409C-BE32-E72D297353CC}">
              <c16:uniqueId val="{00000000-FE87-4475-94D5-C0EF3E1DFCD2}"/>
            </c:ext>
          </c:extLst>
        </c:ser>
        <c:dLbls>
          <c:showLegendKey val="0"/>
          <c:showVal val="1"/>
          <c:showCatName val="0"/>
          <c:showSerName val="0"/>
          <c:showPercent val="0"/>
          <c:showBubbleSize val="0"/>
        </c:dLbls>
        <c:gapWidth val="150"/>
        <c:shape val="box"/>
        <c:axId val="1037492351"/>
        <c:axId val="1037469791"/>
        <c:axId val="0"/>
      </c:bar3DChart>
      <c:catAx>
        <c:axId val="103749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7469791"/>
        <c:crosses val="autoZero"/>
        <c:auto val="1"/>
        <c:lblAlgn val="ctr"/>
        <c:lblOffset val="100"/>
        <c:noMultiLvlLbl val="0"/>
      </c:catAx>
      <c:valAx>
        <c:axId val="103746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3749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Portfolio.xlsx]Sales by Gender!PivotTable1</c:name>
    <c:fmtId val="19"/>
  </c:pivotSource>
  <c:chart>
    <c:title>
      <c:tx>
        <c:rich>
          <a:bodyPr rot="0" spcFirstLastPara="1" vertOverflow="ellipsis" vert="horz" wrap="square" anchor="ctr" anchorCtr="1"/>
          <a:lstStyle/>
          <a:p>
            <a:pPr>
              <a:defRPr sz="1800" b="1" i="0" u="none" strike="noStrike" kern="1200" cap="all" baseline="0">
                <a:solidFill>
                  <a:schemeClr val="bg2"/>
                </a:solidFill>
                <a:latin typeface="+mn-lt"/>
                <a:ea typeface="+mn-ea"/>
                <a:cs typeface="+mn-cs"/>
              </a:defRPr>
            </a:pPr>
            <a:r>
              <a:rPr lang="en-US">
                <a:solidFill>
                  <a:schemeClr val="bg2"/>
                </a:solidFill>
              </a:rPr>
              <a:t>Sales by Gender </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bg2"/>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lumMod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bg2">
              <a:lumMod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Gender'!$B$3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D452-45F4-B754-70418178C705}"/>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D452-45F4-B754-70418178C705}"/>
              </c:ext>
            </c:extLst>
          </c:dPt>
          <c:dLbls>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D452-45F4-B754-70418178C705}"/>
                </c:ext>
              </c:extLst>
            </c:dLbl>
            <c:dLbl>
              <c:idx val="1"/>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D452-45F4-B754-70418178C705}"/>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'Sales by Gender'!$A$4:$A$6</c:f>
              <c:strCache>
                <c:ptCount val="2"/>
                <c:pt idx="0">
                  <c:v>Female</c:v>
                </c:pt>
                <c:pt idx="1">
                  <c:v>Male</c:v>
                </c:pt>
              </c:strCache>
            </c:strRef>
          </c:cat>
          <c:val>
            <c:numRef>
              <c:f>'Sales by Gender'!$B$4:$B$6</c:f>
              <c:numCache>
                <c:formatCode>General</c:formatCode>
                <c:ptCount val="2"/>
                <c:pt idx="0">
                  <c:v>663086</c:v>
                </c:pt>
                <c:pt idx="1">
                  <c:v>964147</c:v>
                </c:pt>
              </c:numCache>
            </c:numRef>
          </c:val>
          <c:extLst>
            <c:ext xmlns:c16="http://schemas.microsoft.com/office/drawing/2014/chart" uri="{C3380CC4-5D6E-409C-BE32-E72D297353CC}">
              <c16:uniqueId val="{00000004-D452-45F4-B754-70418178C705}"/>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jpeg"/><Relationship Id="rId7" Type="http://schemas.openxmlformats.org/officeDocument/2006/relationships/chart" Target="../charts/chart9.xml"/><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4</xdr:col>
      <xdr:colOff>371475</xdr:colOff>
      <xdr:row>2</xdr:row>
      <xdr:rowOff>33337</xdr:rowOff>
    </xdr:from>
    <xdr:to>
      <xdr:col>12</xdr:col>
      <xdr:colOff>66675</xdr:colOff>
      <xdr:row>16</xdr:row>
      <xdr:rowOff>109537</xdr:rowOff>
    </xdr:to>
    <xdr:graphicFrame macro="">
      <xdr:nvGraphicFramePr>
        <xdr:cNvPr id="2" name="Chart 1">
          <a:extLst>
            <a:ext uri="{FF2B5EF4-FFF2-40B4-BE49-F238E27FC236}">
              <a16:creationId xmlns:a16="http://schemas.microsoft.com/office/drawing/2014/main" id="{C7D15D8B-C293-2C7A-1218-D1B922465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333375</xdr:colOff>
      <xdr:row>1</xdr:row>
      <xdr:rowOff>176212</xdr:rowOff>
    </xdr:from>
    <xdr:to>
      <xdr:col>12</xdr:col>
      <xdr:colOff>28575</xdr:colOff>
      <xdr:row>16</xdr:row>
      <xdr:rowOff>61912</xdr:rowOff>
    </xdr:to>
    <xdr:graphicFrame macro="">
      <xdr:nvGraphicFramePr>
        <xdr:cNvPr id="2" name="Chart 1">
          <a:extLst>
            <a:ext uri="{FF2B5EF4-FFF2-40B4-BE49-F238E27FC236}">
              <a16:creationId xmlns:a16="http://schemas.microsoft.com/office/drawing/2014/main" id="{2BAC363E-ADE5-8E69-26BD-DB8BB4177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180975</xdr:colOff>
      <xdr:row>1</xdr:row>
      <xdr:rowOff>71437</xdr:rowOff>
    </xdr:from>
    <xdr:to>
      <xdr:col>11</xdr:col>
      <xdr:colOff>485775</xdr:colOff>
      <xdr:row>15</xdr:row>
      <xdr:rowOff>147637</xdr:rowOff>
    </xdr:to>
    <xdr:graphicFrame macro="">
      <xdr:nvGraphicFramePr>
        <xdr:cNvPr id="2" name="Chart 1">
          <a:extLst>
            <a:ext uri="{FF2B5EF4-FFF2-40B4-BE49-F238E27FC236}">
              <a16:creationId xmlns:a16="http://schemas.microsoft.com/office/drawing/2014/main" id="{952940C3-E3B3-E2F6-2AA9-67F1A1561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247650</xdr:colOff>
      <xdr:row>1</xdr:row>
      <xdr:rowOff>128587</xdr:rowOff>
    </xdr:from>
    <xdr:to>
      <xdr:col>11</xdr:col>
      <xdr:colOff>552450</xdr:colOff>
      <xdr:row>16</xdr:row>
      <xdr:rowOff>14287</xdr:rowOff>
    </xdr:to>
    <xdr:graphicFrame macro="">
      <xdr:nvGraphicFramePr>
        <xdr:cNvPr id="2" name="Chart 1">
          <a:extLst>
            <a:ext uri="{FF2B5EF4-FFF2-40B4-BE49-F238E27FC236}">
              <a16:creationId xmlns:a16="http://schemas.microsoft.com/office/drawing/2014/main" id="{5662EEEF-5130-5552-678E-93E5EE3B1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533400</xdr:colOff>
      <xdr:row>1</xdr:row>
      <xdr:rowOff>4762</xdr:rowOff>
    </xdr:from>
    <xdr:to>
      <xdr:col>11</xdr:col>
      <xdr:colOff>228600</xdr:colOff>
      <xdr:row>15</xdr:row>
      <xdr:rowOff>80962</xdr:rowOff>
    </xdr:to>
    <xdr:graphicFrame macro="">
      <xdr:nvGraphicFramePr>
        <xdr:cNvPr id="2" name="Chart 1">
          <a:extLst>
            <a:ext uri="{FF2B5EF4-FFF2-40B4-BE49-F238E27FC236}">
              <a16:creationId xmlns:a16="http://schemas.microsoft.com/office/drawing/2014/main" id="{E6DD2105-0770-F144-9936-FED35831D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55562</xdr:colOff>
      <xdr:row>0</xdr:row>
      <xdr:rowOff>0</xdr:rowOff>
    </xdr:from>
    <xdr:to>
      <xdr:col>30</xdr:col>
      <xdr:colOff>464342</xdr:colOff>
      <xdr:row>52</xdr:row>
      <xdr:rowOff>107156</xdr:rowOff>
    </xdr:to>
    <xdr:sp macro="" textlink="">
      <xdr:nvSpPr>
        <xdr:cNvPr id="11" name="Rectangle 10" descr="Snow on mountain">
          <a:extLst>
            <a:ext uri="{FF2B5EF4-FFF2-40B4-BE49-F238E27FC236}">
              <a16:creationId xmlns:a16="http://schemas.microsoft.com/office/drawing/2014/main" id="{FE453A04-A999-51CE-D244-4D919F956A72}"/>
            </a:ext>
          </a:extLst>
        </xdr:cNvPr>
        <xdr:cNvSpPr/>
      </xdr:nvSpPr>
      <xdr:spPr>
        <a:xfrm>
          <a:off x="55562" y="0"/>
          <a:ext cx="18625343" cy="10013156"/>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30</xdr:col>
      <xdr:colOff>476250</xdr:colOff>
      <xdr:row>3</xdr:row>
      <xdr:rowOff>85725</xdr:rowOff>
    </xdr:to>
    <xdr:sp macro="" textlink="">
      <xdr:nvSpPr>
        <xdr:cNvPr id="12" name="Rectangle 11" descr="Abstract background of node and mesh">
          <a:extLst>
            <a:ext uri="{FF2B5EF4-FFF2-40B4-BE49-F238E27FC236}">
              <a16:creationId xmlns:a16="http://schemas.microsoft.com/office/drawing/2014/main" id="{643A8297-026E-66D5-3DE6-FC77AB3ACC4F}"/>
            </a:ext>
          </a:extLst>
        </xdr:cNvPr>
        <xdr:cNvSpPr/>
      </xdr:nvSpPr>
      <xdr:spPr>
        <a:xfrm>
          <a:off x="1" y="0"/>
          <a:ext cx="18692812" cy="657225"/>
        </a:xfrm>
        <a:prstGeom prst="rect">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t>Revenue &amp; Product Insights</a:t>
          </a:r>
        </a:p>
      </xdr:txBody>
    </xdr:sp>
    <xdr:clientData/>
  </xdr:twoCellAnchor>
  <xdr:twoCellAnchor>
    <xdr:from>
      <xdr:col>0</xdr:col>
      <xdr:colOff>142875</xdr:colOff>
      <xdr:row>3</xdr:row>
      <xdr:rowOff>180976</xdr:rowOff>
    </xdr:from>
    <xdr:to>
      <xdr:col>7</xdr:col>
      <xdr:colOff>173355</xdr:colOff>
      <xdr:row>15</xdr:row>
      <xdr:rowOff>89536</xdr:rowOff>
    </xdr:to>
    <xdr:sp macro="" textlink="">
      <xdr:nvSpPr>
        <xdr:cNvPr id="13" name="Rectangle 12" descr="Abstract background of node and mesh">
          <a:extLst>
            <a:ext uri="{FF2B5EF4-FFF2-40B4-BE49-F238E27FC236}">
              <a16:creationId xmlns:a16="http://schemas.microsoft.com/office/drawing/2014/main" id="{EEAC4DB6-93B3-EFD8-456D-E93ACB69142D}"/>
            </a:ext>
          </a:extLst>
        </xdr:cNvPr>
        <xdr:cNvSpPr/>
      </xdr:nvSpPr>
      <xdr:spPr>
        <a:xfrm>
          <a:off x="142875" y="752476"/>
          <a:ext cx="4297680" cy="219456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4</xdr:row>
      <xdr:rowOff>161925</xdr:rowOff>
    </xdr:from>
    <xdr:to>
      <xdr:col>6</xdr:col>
      <xdr:colOff>579120</xdr:colOff>
      <xdr:row>14</xdr:row>
      <xdr:rowOff>85725</xdr:rowOff>
    </xdr:to>
    <xdr:graphicFrame macro="">
      <xdr:nvGraphicFramePr>
        <xdr:cNvPr id="14" name="Chart 13">
          <a:extLst>
            <a:ext uri="{FF2B5EF4-FFF2-40B4-BE49-F238E27FC236}">
              <a16:creationId xmlns:a16="http://schemas.microsoft.com/office/drawing/2014/main" id="{8D0A3DD4-A2C6-4776-B2F1-727710F3B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247650</xdr:colOff>
      <xdr:row>3</xdr:row>
      <xdr:rowOff>180976</xdr:rowOff>
    </xdr:from>
    <xdr:to>
      <xdr:col>14</xdr:col>
      <xdr:colOff>278130</xdr:colOff>
      <xdr:row>15</xdr:row>
      <xdr:rowOff>89536</xdr:rowOff>
    </xdr:to>
    <xdr:sp macro="" textlink="">
      <xdr:nvSpPr>
        <xdr:cNvPr id="15" name="Rectangle 14" descr="Abstract background of node and mesh">
          <a:extLst>
            <a:ext uri="{FF2B5EF4-FFF2-40B4-BE49-F238E27FC236}">
              <a16:creationId xmlns:a16="http://schemas.microsoft.com/office/drawing/2014/main" id="{13CE15E3-EEA5-453D-9FC8-4BF8799CE14C}"/>
            </a:ext>
          </a:extLst>
        </xdr:cNvPr>
        <xdr:cNvSpPr/>
      </xdr:nvSpPr>
      <xdr:spPr>
        <a:xfrm>
          <a:off x="4514850" y="752476"/>
          <a:ext cx="4297680" cy="219456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390525</xdr:colOff>
      <xdr:row>4</xdr:row>
      <xdr:rowOff>180975</xdr:rowOff>
    </xdr:from>
    <xdr:to>
      <xdr:col>14</xdr:col>
      <xdr:colOff>55245</xdr:colOff>
      <xdr:row>14</xdr:row>
      <xdr:rowOff>104775</xdr:rowOff>
    </xdr:to>
    <xdr:graphicFrame macro="">
      <xdr:nvGraphicFramePr>
        <xdr:cNvPr id="16" name="Chart 15">
          <a:extLst>
            <a:ext uri="{FF2B5EF4-FFF2-40B4-BE49-F238E27FC236}">
              <a16:creationId xmlns:a16="http://schemas.microsoft.com/office/drawing/2014/main" id="{727A2664-F286-4B78-BF38-9859D23E7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342900</xdr:colOff>
      <xdr:row>3</xdr:row>
      <xdr:rowOff>180976</xdr:rowOff>
    </xdr:from>
    <xdr:to>
      <xdr:col>21</xdr:col>
      <xdr:colOff>373380</xdr:colOff>
      <xdr:row>15</xdr:row>
      <xdr:rowOff>89536</xdr:rowOff>
    </xdr:to>
    <xdr:sp macro="" textlink="">
      <xdr:nvSpPr>
        <xdr:cNvPr id="17" name="Rectangle 16" descr="Abstract background of node and mesh">
          <a:extLst>
            <a:ext uri="{FF2B5EF4-FFF2-40B4-BE49-F238E27FC236}">
              <a16:creationId xmlns:a16="http://schemas.microsoft.com/office/drawing/2014/main" id="{E71DA4AD-C524-40BC-930E-83A6629AFCD8}"/>
            </a:ext>
          </a:extLst>
        </xdr:cNvPr>
        <xdr:cNvSpPr/>
      </xdr:nvSpPr>
      <xdr:spPr>
        <a:xfrm>
          <a:off x="8877300" y="752476"/>
          <a:ext cx="4297680" cy="219456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533400</xdr:colOff>
      <xdr:row>4</xdr:row>
      <xdr:rowOff>180976</xdr:rowOff>
    </xdr:from>
    <xdr:to>
      <xdr:col>21</xdr:col>
      <xdr:colOff>198120</xdr:colOff>
      <xdr:row>14</xdr:row>
      <xdr:rowOff>104776</xdr:rowOff>
    </xdr:to>
    <xdr:graphicFrame macro="">
      <xdr:nvGraphicFramePr>
        <xdr:cNvPr id="18" name="Chart 17">
          <a:extLst>
            <a:ext uri="{FF2B5EF4-FFF2-40B4-BE49-F238E27FC236}">
              <a16:creationId xmlns:a16="http://schemas.microsoft.com/office/drawing/2014/main" id="{BA6BC682-39BC-4051-B9B3-DDF5A4778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133350</xdr:colOff>
      <xdr:row>15</xdr:row>
      <xdr:rowOff>123826</xdr:rowOff>
    </xdr:from>
    <xdr:to>
      <xdr:col>7</xdr:col>
      <xdr:colOff>163830</xdr:colOff>
      <xdr:row>27</xdr:row>
      <xdr:rowOff>32386</xdr:rowOff>
    </xdr:to>
    <xdr:sp macro="" textlink="">
      <xdr:nvSpPr>
        <xdr:cNvPr id="19" name="Rectangle 18" descr="Abstract background of node and mesh">
          <a:extLst>
            <a:ext uri="{FF2B5EF4-FFF2-40B4-BE49-F238E27FC236}">
              <a16:creationId xmlns:a16="http://schemas.microsoft.com/office/drawing/2014/main" id="{A89662B7-3153-44B7-A792-7643454C05EA}"/>
            </a:ext>
          </a:extLst>
        </xdr:cNvPr>
        <xdr:cNvSpPr/>
      </xdr:nvSpPr>
      <xdr:spPr>
        <a:xfrm>
          <a:off x="133350" y="2981326"/>
          <a:ext cx="4297680" cy="219456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16</xdr:row>
      <xdr:rowOff>95251</xdr:rowOff>
    </xdr:from>
    <xdr:to>
      <xdr:col>6</xdr:col>
      <xdr:colOff>560070</xdr:colOff>
      <xdr:row>26</xdr:row>
      <xdr:rowOff>19051</xdr:rowOff>
    </xdr:to>
    <xdr:graphicFrame macro="">
      <xdr:nvGraphicFramePr>
        <xdr:cNvPr id="20" name="Chart 19">
          <a:extLst>
            <a:ext uri="{FF2B5EF4-FFF2-40B4-BE49-F238E27FC236}">
              <a16:creationId xmlns:a16="http://schemas.microsoft.com/office/drawing/2014/main" id="{493AE24F-C8EB-4535-8CCE-FD3617837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247650</xdr:colOff>
      <xdr:row>15</xdr:row>
      <xdr:rowOff>123826</xdr:rowOff>
    </xdr:from>
    <xdr:to>
      <xdr:col>14</xdr:col>
      <xdr:colOff>278130</xdr:colOff>
      <xdr:row>27</xdr:row>
      <xdr:rowOff>32386</xdr:rowOff>
    </xdr:to>
    <xdr:sp macro="" textlink="">
      <xdr:nvSpPr>
        <xdr:cNvPr id="21" name="Rectangle 20" descr="Abstract background of node and mesh">
          <a:extLst>
            <a:ext uri="{FF2B5EF4-FFF2-40B4-BE49-F238E27FC236}">
              <a16:creationId xmlns:a16="http://schemas.microsoft.com/office/drawing/2014/main" id="{1155C182-870D-40AD-B1EE-2BB125FC9B68}"/>
            </a:ext>
          </a:extLst>
        </xdr:cNvPr>
        <xdr:cNvSpPr/>
      </xdr:nvSpPr>
      <xdr:spPr>
        <a:xfrm>
          <a:off x="4514850" y="2981326"/>
          <a:ext cx="4297680" cy="219456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400050</xdr:colOff>
      <xdr:row>16</xdr:row>
      <xdr:rowOff>95250</xdr:rowOff>
    </xdr:from>
    <xdr:to>
      <xdr:col>14</xdr:col>
      <xdr:colOff>64770</xdr:colOff>
      <xdr:row>26</xdr:row>
      <xdr:rowOff>19050</xdr:rowOff>
    </xdr:to>
    <xdr:graphicFrame macro="">
      <xdr:nvGraphicFramePr>
        <xdr:cNvPr id="22" name="Chart 21">
          <a:extLst>
            <a:ext uri="{FF2B5EF4-FFF2-40B4-BE49-F238E27FC236}">
              <a16:creationId xmlns:a16="http://schemas.microsoft.com/office/drawing/2014/main" id="{C04FA435-6A80-422B-AA3C-C1D1B90E0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342899</xdr:colOff>
      <xdr:row>15</xdr:row>
      <xdr:rowOff>133351</xdr:rowOff>
    </xdr:from>
    <xdr:to>
      <xdr:col>23</xdr:col>
      <xdr:colOff>104774</xdr:colOff>
      <xdr:row>27</xdr:row>
      <xdr:rowOff>14654</xdr:rowOff>
    </xdr:to>
    <xdr:sp macro="" textlink="">
      <xdr:nvSpPr>
        <xdr:cNvPr id="23" name="Rectangle 22" descr="Abstract background of node and mesh">
          <a:extLst>
            <a:ext uri="{FF2B5EF4-FFF2-40B4-BE49-F238E27FC236}">
              <a16:creationId xmlns:a16="http://schemas.microsoft.com/office/drawing/2014/main" id="{B273E655-A81A-4573-9125-1FB35B388173}"/>
            </a:ext>
          </a:extLst>
        </xdr:cNvPr>
        <xdr:cNvSpPr/>
      </xdr:nvSpPr>
      <xdr:spPr>
        <a:xfrm>
          <a:off x="8877299" y="2990851"/>
          <a:ext cx="5248275" cy="2167303"/>
        </a:xfrm>
        <a:prstGeom prst="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409575</xdr:colOff>
      <xdr:row>16</xdr:row>
      <xdr:rowOff>66675</xdr:rowOff>
    </xdr:from>
    <xdr:to>
      <xdr:col>16</xdr:col>
      <xdr:colOff>561975</xdr:colOff>
      <xdr:row>26</xdr:row>
      <xdr:rowOff>57150</xdr:rowOff>
    </xdr:to>
    <mc:AlternateContent xmlns:mc="http://schemas.openxmlformats.org/markup-compatibility/2006" xmlns:a14="http://schemas.microsoft.com/office/drawing/2010/main">
      <mc:Choice Requires="a14">
        <xdr:graphicFrame macro="">
          <xdr:nvGraphicFramePr>
            <xdr:cNvPr id="25" name="Months (Order_Date)">
              <a:extLst>
                <a:ext uri="{FF2B5EF4-FFF2-40B4-BE49-F238E27FC236}">
                  <a16:creationId xmlns:a16="http://schemas.microsoft.com/office/drawing/2014/main" id="{3C5E2283-08FA-879C-7C14-6E3CD8512446}"/>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8943975" y="3114675"/>
              <a:ext cx="13716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xdr:colOff>
      <xdr:row>16</xdr:row>
      <xdr:rowOff>57150</xdr:rowOff>
    </xdr:from>
    <xdr:to>
      <xdr:col>19</xdr:col>
      <xdr:colOff>123825</xdr:colOff>
      <xdr:row>26</xdr:row>
      <xdr:rowOff>71437</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0CF7A9FE-1B75-5D5A-A6B6-FC2C38B7B4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91775" y="3105150"/>
              <a:ext cx="1314450" cy="1919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161925</xdr:colOff>
      <xdr:row>16</xdr:row>
      <xdr:rowOff>66674</xdr:rowOff>
    </xdr:from>
    <xdr:to>
      <xdr:col>21</xdr:col>
      <xdr:colOff>152400</xdr:colOff>
      <xdr:row>26</xdr:row>
      <xdr:rowOff>79375</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5EC1003F-9DE8-B1B4-8156-D6325C4D7F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44325" y="3114674"/>
              <a:ext cx="1209675" cy="1917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190500</xdr:colOff>
      <xdr:row>16</xdr:row>
      <xdr:rowOff>66676</xdr:rowOff>
    </xdr:from>
    <xdr:to>
      <xdr:col>23</xdr:col>
      <xdr:colOff>57150</xdr:colOff>
      <xdr:row>26</xdr:row>
      <xdr:rowOff>71438</xdr:rowOff>
    </xdr:to>
    <mc:AlternateContent xmlns:mc="http://schemas.openxmlformats.org/markup-compatibility/2006" xmlns:a14="http://schemas.microsoft.com/office/drawing/2010/main">
      <mc:Choice Requires="a14">
        <xdr:graphicFrame macro="">
          <xdr:nvGraphicFramePr>
            <xdr:cNvPr id="28" name="Gender">
              <a:extLst>
                <a:ext uri="{FF2B5EF4-FFF2-40B4-BE49-F238E27FC236}">
                  <a16:creationId xmlns:a16="http://schemas.microsoft.com/office/drawing/2014/main" id="{261B48EA-B086-FE1C-5B28-CB83DE6541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92100" y="3114676"/>
              <a:ext cx="1085850" cy="1909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309562</xdr:colOff>
      <xdr:row>5</xdr:row>
      <xdr:rowOff>47625</xdr:rowOff>
    </xdr:from>
    <xdr:to>
      <xdr:col>29</xdr:col>
      <xdr:colOff>428625</xdr:colOff>
      <xdr:row>13</xdr:row>
      <xdr:rowOff>166687</xdr:rowOff>
    </xdr:to>
    <xdr:sp macro="" textlink="">
      <xdr:nvSpPr>
        <xdr:cNvPr id="2" name="Rectangle 1">
          <a:extLst>
            <a:ext uri="{FF2B5EF4-FFF2-40B4-BE49-F238E27FC236}">
              <a16:creationId xmlns:a16="http://schemas.microsoft.com/office/drawing/2014/main" id="{BDB72807-48B0-CE0A-4E7B-D60D43045EC5}"/>
            </a:ext>
          </a:extLst>
        </xdr:cNvPr>
        <xdr:cNvSpPr/>
      </xdr:nvSpPr>
      <xdr:spPr>
        <a:xfrm>
          <a:off x="13668375" y="1000125"/>
          <a:ext cx="4369594" cy="164306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tx1"/>
              </a:solidFill>
            </a:rPr>
            <a:t>Key Insights:</a:t>
          </a:r>
        </a:p>
        <a:p>
          <a:pPr marL="0" marR="0" lvl="0" indent="0" algn="l" defTabSz="914400" eaLnBrk="1" fontAlgn="auto" latinLnBrk="0" hangingPunct="1">
            <a:lnSpc>
              <a:spcPct val="100000"/>
            </a:lnSpc>
            <a:spcBef>
              <a:spcPts val="0"/>
            </a:spcBef>
            <a:spcAft>
              <a:spcPts val="0"/>
            </a:spcAft>
            <a:buClrTx/>
            <a:buSzTx/>
            <a:buFontTx/>
            <a:buNone/>
            <a:tabLst/>
            <a:defRPr/>
          </a:pPr>
          <a:r>
            <a:rPr lang="en-US" b="1">
              <a:solidFill>
                <a:schemeClr val="tx1"/>
              </a:solidFill>
            </a:rPr>
            <a:t>Sales peaked in February and May, showing strong performance in these months. The South region generates the highest sales, while the East region has the lowest. Electronics category has the highest profit compared to others. Tablets and Jackets are the top revenue-generating products. Male customers contribute more to sales than females. Overall, sales performance is strong with clear top-performing regions and products.</a:t>
          </a:r>
        </a:p>
        <a:p>
          <a:pPr algn="l"/>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ikh Huzaifa" refreshedDate="46076.688885648146" createdVersion="8" refreshedVersion="8" minRefreshableVersion="3" recordCount="100" xr:uid="{4CAAF136-0FE3-4562-8FEC-9B63C78ED1AC}">
  <cacheSource type="worksheet">
    <worksheetSource name="Table1"/>
  </cacheSource>
  <cacheFields count="11">
    <cacheField name="Order_ID" numFmtId="0">
      <sharedItems/>
    </cacheField>
    <cacheField name="Order_Date" numFmtId="164">
      <sharedItems containsSemiMixedTypes="0" containsNonDate="0" containsDate="1" containsString="0" minDate="2025-01-07T00:00:00" maxDate="2025-06-29T00:00:00" count="77">
        <d v="2025-04-27T00:00:00"/>
        <d v="2025-03-25T00:00:00"/>
        <d v="2025-05-14T00:00:00"/>
        <d v="2025-02-25T00:00:00"/>
        <d v="2025-04-01T00:00:00"/>
        <d v="2025-06-05T00:00:00"/>
        <d v="2025-02-07T00:00:00"/>
        <d v="2025-06-17T00:00:00"/>
        <d v="2025-03-24T00:00:00"/>
        <d v="2025-03-06T00:00:00"/>
        <d v="2025-05-26T00:00:00"/>
        <d v="2025-03-11T00:00:00"/>
        <d v="2025-04-06T00:00:00"/>
        <d v="2025-02-18T00:00:00"/>
        <d v="2025-03-20T00:00:00"/>
        <d v="2025-04-17T00:00:00"/>
        <d v="2025-01-19T00:00:00"/>
        <d v="2025-06-16T00:00:00"/>
        <d v="2025-06-28T00:00:00"/>
        <d v="2025-03-05T00:00:00"/>
        <d v="2025-04-03T00:00:00"/>
        <d v="2025-05-10T00:00:00"/>
        <d v="2025-05-18T00:00:00"/>
        <d v="2025-06-03T00:00:00"/>
        <d v="2025-02-21T00:00:00"/>
        <d v="2025-03-10T00:00:00"/>
        <d v="2025-05-03T00:00:00"/>
        <d v="2025-03-27T00:00:00"/>
        <d v="2025-04-24T00:00:00"/>
        <d v="2025-02-22T00:00:00"/>
        <d v="2025-05-30T00:00:00"/>
        <d v="2025-03-28T00:00:00"/>
        <d v="2025-06-08T00:00:00"/>
        <d v="2025-02-15T00:00:00"/>
        <d v="2025-01-26T00:00:00"/>
        <d v="2025-04-13T00:00:00"/>
        <d v="2025-02-04T00:00:00"/>
        <d v="2025-05-25T00:00:00"/>
        <d v="2025-01-16T00:00:00"/>
        <d v="2025-03-07T00:00:00"/>
        <d v="2025-02-03T00:00:00"/>
        <d v="2025-03-29T00:00:00"/>
        <d v="2025-02-23T00:00:00"/>
        <d v="2025-06-27T00:00:00"/>
        <d v="2025-02-09T00:00:00"/>
        <d v="2025-03-08T00:00:00"/>
        <d v="2025-02-24T00:00:00"/>
        <d v="2025-03-01T00:00:00"/>
        <d v="2025-06-19T00:00:00"/>
        <d v="2025-05-09T00:00:00"/>
        <d v="2025-02-02T00:00:00"/>
        <d v="2025-05-27T00:00:00"/>
        <d v="2025-05-24T00:00:00"/>
        <d v="2025-01-21T00:00:00"/>
        <d v="2025-05-21T00:00:00"/>
        <d v="2025-06-25T00:00:00"/>
        <d v="2025-01-24T00:00:00"/>
        <d v="2025-05-31T00:00:00"/>
        <d v="2025-01-23T00:00:00"/>
        <d v="2025-05-05T00:00:00"/>
        <d v="2025-05-06T00:00:00"/>
        <d v="2025-01-09T00:00:00"/>
        <d v="2025-06-26T00:00:00"/>
        <d v="2025-04-20T00:00:00"/>
        <d v="2025-04-19T00:00:00"/>
        <d v="2025-03-26T00:00:00"/>
        <d v="2025-03-13T00:00:00"/>
        <d v="2025-05-28T00:00:00"/>
        <d v="2025-03-19T00:00:00"/>
        <d v="2025-04-28T00:00:00"/>
        <d v="2025-01-07T00:00:00"/>
        <d v="2025-05-04T00:00:00"/>
        <d v="2025-04-29T00:00:00"/>
        <d v="2025-06-24T00:00:00"/>
        <d v="2025-02-12T00:00:00"/>
        <d v="2025-06-18T00:00:00"/>
        <d v="2025-04-22T00:00:00"/>
      </sharedItems>
      <fieldGroup par="10"/>
    </cacheField>
    <cacheField name="Customer_Name" numFmtId="0">
      <sharedItems/>
    </cacheField>
    <cacheField name="Gender" numFmtId="0">
      <sharedItems count="2">
        <s v="Female"/>
        <s v="Male"/>
      </sharedItems>
    </cacheField>
    <cacheField name="Region" numFmtId="0">
      <sharedItems count="4">
        <s v="West"/>
        <s v="South"/>
        <s v="North"/>
        <s v="East"/>
      </sharedItems>
    </cacheField>
    <cacheField name="Product_Name" numFmtId="0">
      <sharedItems count="12">
        <s v="Headphones"/>
        <s v="Cabinet"/>
        <s v="Table"/>
        <s v="Jeans"/>
        <s v="Jacket"/>
        <s v="Shirt"/>
        <s v="Mobile"/>
        <s v="Laptop"/>
        <s v="Tablet"/>
        <s v="Chair"/>
        <s v="Sofa"/>
        <s v="Shoes"/>
      </sharedItems>
    </cacheField>
    <cacheField name="Category" numFmtId="0">
      <sharedItems count="3">
        <s v="Electronics"/>
        <s v="Furniture"/>
        <s v="Clothing"/>
      </sharedItems>
    </cacheField>
    <cacheField name="Quantity" numFmtId="0">
      <sharedItems containsSemiMixedTypes="0" containsString="0" containsNumber="1" containsInteger="1" minValue="1" maxValue="10"/>
    </cacheField>
    <cacheField name="Sales_Amount" numFmtId="0">
      <sharedItems containsSemiMixedTypes="0" containsString="0" containsNumber="1" containsInteger="1" minValue="1294" maxValue="49000"/>
    </cacheField>
    <cacheField name="Profit" numFmtId="165">
      <sharedItems containsSemiMixedTypes="0" containsString="0" containsNumber="1" minValue="162.63" maxValue="9666.24"/>
    </cacheField>
    <cacheField name="Months (Order_Date)" numFmtId="0" databaseField="0">
      <fieldGroup base="1">
        <rangePr groupBy="months" startDate="2025-01-07T00:00:00" endDate="2025-06-29T00:00:00"/>
        <groupItems count="14">
          <s v="&lt;1/7/2025"/>
          <s v="Jan"/>
          <s v="Feb"/>
          <s v="Mar"/>
          <s v="Apr"/>
          <s v="May"/>
          <s v="Jun"/>
          <s v="Jul"/>
          <s v="Aug"/>
          <s v="Sep"/>
          <s v="Oct"/>
          <s v="Nov"/>
          <s v="Dec"/>
          <s v="&gt;6/29/2025"/>
        </groupItems>
      </fieldGroup>
    </cacheField>
  </cacheFields>
  <extLst>
    <ext xmlns:x14="http://schemas.microsoft.com/office/spreadsheetml/2009/9/main" uri="{725AE2AE-9491-48be-B2B4-4EB974FC3084}">
      <x14:pivotCacheDefinition pivotCacheId="986048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s v="Zara Sheikh"/>
    <x v="0"/>
    <x v="0"/>
    <x v="0"/>
    <x v="0"/>
    <n v="3"/>
    <n v="8799"/>
    <n v="1901.21"/>
  </r>
  <r>
    <s v="ORD002"/>
    <x v="1"/>
    <s v="Ali Sheikh"/>
    <x v="1"/>
    <x v="1"/>
    <x v="1"/>
    <x v="1"/>
    <n v="6"/>
    <n v="23784"/>
    <n v="4270.07"/>
  </r>
  <r>
    <s v="ORD003"/>
    <x v="2"/>
    <s v="Noor Ansari"/>
    <x v="0"/>
    <x v="2"/>
    <x v="2"/>
    <x v="1"/>
    <n v="6"/>
    <n v="13980"/>
    <n v="2973.02"/>
  </r>
  <r>
    <s v="ORD004"/>
    <x v="3"/>
    <s v="Ahmed Malik"/>
    <x v="1"/>
    <x v="1"/>
    <x v="3"/>
    <x v="2"/>
    <n v="6"/>
    <n v="6768"/>
    <n v="895.8"/>
  </r>
  <r>
    <s v="ORD005"/>
    <x v="4"/>
    <s v="Zain Ahmed"/>
    <x v="1"/>
    <x v="3"/>
    <x v="3"/>
    <x v="2"/>
    <n v="1"/>
    <n v="3822"/>
    <n v="616.39"/>
  </r>
  <r>
    <s v="ORD006"/>
    <x v="5"/>
    <s v="Laiba Sheikh"/>
    <x v="0"/>
    <x v="0"/>
    <x v="4"/>
    <x v="2"/>
    <n v="1"/>
    <n v="2379"/>
    <n v="608.99"/>
  </r>
  <r>
    <s v="ORD007"/>
    <x v="6"/>
    <s v="Iqra Qureshi"/>
    <x v="0"/>
    <x v="0"/>
    <x v="5"/>
    <x v="2"/>
    <n v="7"/>
    <n v="28595"/>
    <n v="7421.11"/>
  </r>
  <r>
    <s v="ORD008"/>
    <x v="6"/>
    <s v="Usman Chaudhry"/>
    <x v="1"/>
    <x v="0"/>
    <x v="4"/>
    <x v="2"/>
    <n v="2"/>
    <n v="4972"/>
    <n v="1164.1300000000001"/>
  </r>
  <r>
    <s v="ORD009"/>
    <x v="7"/>
    <s v="Ali Sheikh"/>
    <x v="1"/>
    <x v="1"/>
    <x v="6"/>
    <x v="0"/>
    <n v="7"/>
    <n v="26264"/>
    <n v="3718.22"/>
  </r>
  <r>
    <s v="ORD010"/>
    <x v="8"/>
    <s v="Ayesha Butt"/>
    <x v="0"/>
    <x v="1"/>
    <x v="7"/>
    <x v="0"/>
    <n v="4"/>
    <n v="16496"/>
    <n v="4713.74"/>
  </r>
  <r>
    <s v="ORD011"/>
    <x v="9"/>
    <s v="Fatima Khan"/>
    <x v="0"/>
    <x v="1"/>
    <x v="8"/>
    <x v="0"/>
    <n v="6"/>
    <n v="24696"/>
    <n v="3144.95"/>
  </r>
  <r>
    <s v="ORD012"/>
    <x v="10"/>
    <s v="Farhan Raza"/>
    <x v="1"/>
    <x v="0"/>
    <x v="4"/>
    <x v="2"/>
    <n v="6"/>
    <n v="19272"/>
    <n v="4266.51"/>
  </r>
  <r>
    <s v="ORD013"/>
    <x v="11"/>
    <s v="Bilal Khan"/>
    <x v="1"/>
    <x v="1"/>
    <x v="1"/>
    <x v="1"/>
    <n v="4"/>
    <n v="11072"/>
    <n v="2006.63"/>
  </r>
  <r>
    <s v="ORD014"/>
    <x v="12"/>
    <s v="Saad Ansari"/>
    <x v="1"/>
    <x v="2"/>
    <x v="9"/>
    <x v="1"/>
    <n v="5"/>
    <n v="23985"/>
    <n v="3775.83"/>
  </r>
  <r>
    <s v="ORD015"/>
    <x v="13"/>
    <s v="Fatima Butt"/>
    <x v="0"/>
    <x v="3"/>
    <x v="5"/>
    <x v="2"/>
    <n v="6"/>
    <n v="16710"/>
    <n v="3206.73"/>
  </r>
  <r>
    <s v="ORD016"/>
    <x v="14"/>
    <s v="Iqra Chaudhry"/>
    <x v="0"/>
    <x v="0"/>
    <x v="0"/>
    <x v="0"/>
    <n v="9"/>
    <n v="18639"/>
    <n v="3957.03"/>
  </r>
  <r>
    <s v="ORD017"/>
    <x v="15"/>
    <s v="Bilal Siddiqui"/>
    <x v="1"/>
    <x v="0"/>
    <x v="5"/>
    <x v="2"/>
    <n v="10"/>
    <n v="13920"/>
    <n v="1985.03"/>
  </r>
  <r>
    <s v="ORD018"/>
    <x v="16"/>
    <s v="Noor Khan"/>
    <x v="0"/>
    <x v="2"/>
    <x v="10"/>
    <x v="1"/>
    <n v="4"/>
    <n v="6056"/>
    <n v="1154.18"/>
  </r>
  <r>
    <s v="ORD019"/>
    <x v="17"/>
    <s v="Hira Khan"/>
    <x v="1"/>
    <x v="1"/>
    <x v="0"/>
    <x v="0"/>
    <n v="5"/>
    <n v="6820"/>
    <n v="1495.81"/>
  </r>
  <r>
    <s v="ORD020"/>
    <x v="18"/>
    <s v="Ayesha Siddiqui"/>
    <x v="0"/>
    <x v="2"/>
    <x v="6"/>
    <x v="0"/>
    <n v="3"/>
    <n v="3612"/>
    <n v="371.96"/>
  </r>
  <r>
    <s v="ORD021"/>
    <x v="19"/>
    <s v="Bilal Raza"/>
    <x v="1"/>
    <x v="0"/>
    <x v="0"/>
    <x v="0"/>
    <n v="5"/>
    <n v="21320"/>
    <n v="3797.27"/>
  </r>
  <r>
    <s v="ORD022"/>
    <x v="20"/>
    <s v="Hamza Khan"/>
    <x v="1"/>
    <x v="2"/>
    <x v="3"/>
    <x v="2"/>
    <n v="6"/>
    <n v="8940"/>
    <n v="1860.89"/>
  </r>
  <r>
    <s v="ORD023"/>
    <x v="21"/>
    <s v="Noor Qureshi"/>
    <x v="0"/>
    <x v="0"/>
    <x v="10"/>
    <x v="1"/>
    <n v="8"/>
    <n v="10640"/>
    <n v="2972.51"/>
  </r>
  <r>
    <s v="ORD024"/>
    <x v="22"/>
    <s v="Ali Malik"/>
    <x v="1"/>
    <x v="1"/>
    <x v="4"/>
    <x v="2"/>
    <n v="9"/>
    <n v="25767"/>
    <n v="4949.04"/>
  </r>
  <r>
    <s v="ORD025"/>
    <x v="23"/>
    <s v="Zain Ansari"/>
    <x v="1"/>
    <x v="2"/>
    <x v="3"/>
    <x v="2"/>
    <n v="6"/>
    <n v="29148"/>
    <n v="5129.29"/>
  </r>
  <r>
    <s v="ORD026"/>
    <x v="24"/>
    <s v="Bilal Ahmed"/>
    <x v="1"/>
    <x v="2"/>
    <x v="6"/>
    <x v="0"/>
    <n v="4"/>
    <n v="13772"/>
    <n v="2559.6799999999998"/>
  </r>
  <r>
    <s v="ORD027"/>
    <x v="25"/>
    <s v="Sana Ansari"/>
    <x v="0"/>
    <x v="1"/>
    <x v="11"/>
    <x v="2"/>
    <n v="3"/>
    <n v="9987"/>
    <n v="1525.11"/>
  </r>
  <r>
    <s v="ORD028"/>
    <x v="26"/>
    <s v="Saad Sheikh"/>
    <x v="1"/>
    <x v="1"/>
    <x v="6"/>
    <x v="0"/>
    <n v="5"/>
    <n v="18340"/>
    <n v="3487.31"/>
  </r>
  <r>
    <s v="ORD029"/>
    <x v="27"/>
    <s v="Hira Siddiqui"/>
    <x v="1"/>
    <x v="2"/>
    <x v="8"/>
    <x v="0"/>
    <n v="2"/>
    <n v="3652"/>
    <n v="727.38"/>
  </r>
  <r>
    <s v="ORD030"/>
    <x v="6"/>
    <s v="Ali Raza"/>
    <x v="1"/>
    <x v="3"/>
    <x v="4"/>
    <x v="2"/>
    <n v="10"/>
    <n v="39890"/>
    <n v="6746.64"/>
  </r>
  <r>
    <s v="ORD031"/>
    <x v="28"/>
    <s v="Noor Khan"/>
    <x v="0"/>
    <x v="1"/>
    <x v="3"/>
    <x v="2"/>
    <n v="8"/>
    <n v="11088"/>
    <n v="1604.4"/>
  </r>
  <r>
    <s v="ORD032"/>
    <x v="29"/>
    <s v="Anaya Chaudhry"/>
    <x v="1"/>
    <x v="1"/>
    <x v="3"/>
    <x v="2"/>
    <n v="5"/>
    <n v="10380"/>
    <n v="1763.48"/>
  </r>
  <r>
    <s v="ORD033"/>
    <x v="30"/>
    <s v="Hamza Khan"/>
    <x v="1"/>
    <x v="1"/>
    <x v="2"/>
    <x v="1"/>
    <n v="1"/>
    <n v="3832"/>
    <n v="695.69"/>
  </r>
  <r>
    <s v="ORD034"/>
    <x v="31"/>
    <s v="Hira Ansari"/>
    <x v="1"/>
    <x v="3"/>
    <x v="2"/>
    <x v="1"/>
    <n v="5"/>
    <n v="23210"/>
    <n v="5300.84"/>
  </r>
  <r>
    <s v="ORD035"/>
    <x v="25"/>
    <s v="Usman Ansari"/>
    <x v="1"/>
    <x v="2"/>
    <x v="3"/>
    <x v="2"/>
    <n v="7"/>
    <n v="19663"/>
    <n v="3717.34"/>
  </r>
  <r>
    <s v="ORD036"/>
    <x v="32"/>
    <s v="Bilal Siddiqui"/>
    <x v="1"/>
    <x v="3"/>
    <x v="0"/>
    <x v="0"/>
    <n v="1"/>
    <n v="3514"/>
    <n v="660.7"/>
  </r>
  <r>
    <s v="ORD037"/>
    <x v="33"/>
    <s v="Ahmed Chaudhry"/>
    <x v="1"/>
    <x v="2"/>
    <x v="9"/>
    <x v="1"/>
    <n v="9"/>
    <n v="23022"/>
    <n v="2738.26"/>
  </r>
  <r>
    <s v="ORD038"/>
    <x v="34"/>
    <s v="Sana Ahmed"/>
    <x v="0"/>
    <x v="1"/>
    <x v="6"/>
    <x v="0"/>
    <n v="5"/>
    <n v="10075"/>
    <n v="1979.79"/>
  </r>
  <r>
    <s v="ORD039"/>
    <x v="35"/>
    <s v="Mariam Butt"/>
    <x v="1"/>
    <x v="2"/>
    <x v="9"/>
    <x v="1"/>
    <n v="10"/>
    <n v="43950"/>
    <n v="4952.1099999999997"/>
  </r>
  <r>
    <s v="ORD040"/>
    <x v="36"/>
    <s v="Laiba Chaudhry"/>
    <x v="0"/>
    <x v="2"/>
    <x v="6"/>
    <x v="0"/>
    <n v="6"/>
    <n v="14472"/>
    <n v="2222.96"/>
  </r>
  <r>
    <s v="ORD041"/>
    <x v="37"/>
    <s v="Omar Ansari"/>
    <x v="1"/>
    <x v="3"/>
    <x v="7"/>
    <x v="0"/>
    <n v="1"/>
    <n v="4667"/>
    <n v="987.75"/>
  </r>
  <r>
    <s v="ORD042"/>
    <x v="38"/>
    <s v="Farhan Siddiqui"/>
    <x v="1"/>
    <x v="1"/>
    <x v="7"/>
    <x v="0"/>
    <n v="5"/>
    <n v="17100"/>
    <n v="2843.01"/>
  </r>
  <r>
    <s v="ORD043"/>
    <x v="39"/>
    <s v="Hira Siddiqui"/>
    <x v="1"/>
    <x v="2"/>
    <x v="7"/>
    <x v="0"/>
    <n v="8"/>
    <n v="24768"/>
    <n v="3803.65"/>
  </r>
  <r>
    <s v="ORD044"/>
    <x v="40"/>
    <s v="Zain Qureshi"/>
    <x v="1"/>
    <x v="1"/>
    <x v="4"/>
    <x v="2"/>
    <n v="9"/>
    <n v="36009"/>
    <n v="4154.8599999999997"/>
  </r>
  <r>
    <s v="ORD045"/>
    <x v="41"/>
    <s v="Anaya Raza"/>
    <x v="0"/>
    <x v="1"/>
    <x v="4"/>
    <x v="2"/>
    <n v="4"/>
    <n v="6940"/>
    <n v="870.87"/>
  </r>
  <r>
    <s v="ORD046"/>
    <x v="42"/>
    <s v="Ayesha Ansari"/>
    <x v="0"/>
    <x v="1"/>
    <x v="11"/>
    <x v="2"/>
    <n v="10"/>
    <n v="28230"/>
    <n v="4206.4799999999996"/>
  </r>
  <r>
    <s v="ORD047"/>
    <x v="43"/>
    <s v="Fatima Ahmed"/>
    <x v="0"/>
    <x v="2"/>
    <x v="10"/>
    <x v="1"/>
    <n v="9"/>
    <n v="15489"/>
    <n v="3771.03"/>
  </r>
  <r>
    <s v="ORD048"/>
    <x v="21"/>
    <s v="Noor Sheikh"/>
    <x v="0"/>
    <x v="1"/>
    <x v="8"/>
    <x v="0"/>
    <n v="9"/>
    <n v="32832"/>
    <n v="7821.43"/>
  </r>
  <r>
    <s v="ORD049"/>
    <x v="44"/>
    <s v="Sana Ahmed"/>
    <x v="0"/>
    <x v="2"/>
    <x v="4"/>
    <x v="2"/>
    <n v="4"/>
    <n v="12452"/>
    <n v="2600.04"/>
  </r>
  <r>
    <s v="ORD050"/>
    <x v="44"/>
    <s v="Ali Raza"/>
    <x v="1"/>
    <x v="3"/>
    <x v="3"/>
    <x v="2"/>
    <n v="2"/>
    <n v="8644"/>
    <n v="2110.2399999999998"/>
  </r>
  <r>
    <s v="ORD051"/>
    <x v="31"/>
    <s v="Usman Raza"/>
    <x v="1"/>
    <x v="1"/>
    <x v="6"/>
    <x v="0"/>
    <n v="3"/>
    <n v="3183"/>
    <n v="859.47"/>
  </r>
  <r>
    <s v="ORD052"/>
    <x v="12"/>
    <s v="Hamza Siddiqui"/>
    <x v="1"/>
    <x v="1"/>
    <x v="0"/>
    <x v="0"/>
    <n v="1"/>
    <n v="4624"/>
    <n v="478.1"/>
  </r>
  <r>
    <s v="ORD053"/>
    <x v="40"/>
    <s v="Saad Butt"/>
    <x v="1"/>
    <x v="1"/>
    <x v="6"/>
    <x v="0"/>
    <n v="4"/>
    <n v="17936"/>
    <n v="4685.53"/>
  </r>
  <r>
    <s v="ORD054"/>
    <x v="45"/>
    <s v="Hira Siddiqui"/>
    <x v="1"/>
    <x v="1"/>
    <x v="0"/>
    <x v="0"/>
    <n v="3"/>
    <n v="5523"/>
    <n v="560.49"/>
  </r>
  <r>
    <s v="ORD055"/>
    <x v="46"/>
    <s v="Hira Qureshi"/>
    <x v="1"/>
    <x v="2"/>
    <x v="8"/>
    <x v="0"/>
    <n v="4"/>
    <n v="7788"/>
    <n v="1500.63"/>
  </r>
  <r>
    <s v="ORD056"/>
    <x v="47"/>
    <s v="Ali Qureshi"/>
    <x v="1"/>
    <x v="3"/>
    <x v="0"/>
    <x v="0"/>
    <n v="1"/>
    <n v="4305"/>
    <n v="979.13"/>
  </r>
  <r>
    <s v="ORD057"/>
    <x v="48"/>
    <s v="Mariam Chaudhry"/>
    <x v="1"/>
    <x v="3"/>
    <x v="7"/>
    <x v="0"/>
    <n v="5"/>
    <n v="21460"/>
    <n v="3553.31"/>
  </r>
  <r>
    <s v="ORD058"/>
    <x v="49"/>
    <s v="Noor Malik"/>
    <x v="0"/>
    <x v="3"/>
    <x v="3"/>
    <x v="2"/>
    <n v="5"/>
    <n v="24705"/>
    <n v="6431.99"/>
  </r>
  <r>
    <s v="ORD059"/>
    <x v="50"/>
    <s v="Farhan Qureshi"/>
    <x v="1"/>
    <x v="1"/>
    <x v="5"/>
    <x v="2"/>
    <n v="8"/>
    <n v="9272"/>
    <n v="2067.36"/>
  </r>
  <r>
    <s v="ORD060"/>
    <x v="51"/>
    <s v="Hamza Khan"/>
    <x v="1"/>
    <x v="1"/>
    <x v="3"/>
    <x v="2"/>
    <n v="2"/>
    <n v="3776"/>
    <n v="562.44000000000005"/>
  </r>
  <r>
    <s v="ORD061"/>
    <x v="52"/>
    <s v="Mariam Malik"/>
    <x v="1"/>
    <x v="0"/>
    <x v="11"/>
    <x v="2"/>
    <n v="6"/>
    <n v="21204"/>
    <n v="2541.6999999999998"/>
  </r>
  <r>
    <s v="ORD062"/>
    <x v="48"/>
    <s v="Anaya Ahmed"/>
    <x v="1"/>
    <x v="1"/>
    <x v="1"/>
    <x v="1"/>
    <n v="8"/>
    <n v="10096"/>
    <n v="2729.67"/>
  </r>
  <r>
    <s v="ORD063"/>
    <x v="53"/>
    <s v="Iqra Butt"/>
    <x v="0"/>
    <x v="2"/>
    <x v="10"/>
    <x v="1"/>
    <n v="10"/>
    <n v="30260"/>
    <n v="8318.9500000000007"/>
  </r>
  <r>
    <s v="ORD064"/>
    <x v="54"/>
    <s v="Usman Ahmed"/>
    <x v="1"/>
    <x v="1"/>
    <x v="2"/>
    <x v="1"/>
    <n v="10"/>
    <n v="37850"/>
    <n v="4237.53"/>
  </r>
  <r>
    <s v="ORD065"/>
    <x v="55"/>
    <s v="Sana Ansari"/>
    <x v="0"/>
    <x v="3"/>
    <x v="11"/>
    <x v="2"/>
    <n v="2"/>
    <n v="9274"/>
    <n v="1814.92"/>
  </r>
  <r>
    <s v="ORD066"/>
    <x v="56"/>
    <s v="Hamza Ahmed"/>
    <x v="1"/>
    <x v="1"/>
    <x v="7"/>
    <x v="0"/>
    <n v="1"/>
    <n v="1294"/>
    <n v="162.63"/>
  </r>
  <r>
    <s v="ORD067"/>
    <x v="57"/>
    <s v="Farhan Khan"/>
    <x v="1"/>
    <x v="2"/>
    <x v="4"/>
    <x v="2"/>
    <n v="1"/>
    <n v="3595"/>
    <n v="764.99"/>
  </r>
  <r>
    <s v="ORD068"/>
    <x v="7"/>
    <s v="Noor Khan"/>
    <x v="0"/>
    <x v="2"/>
    <x v="4"/>
    <x v="2"/>
    <n v="4"/>
    <n v="4868"/>
    <n v="700.69"/>
  </r>
  <r>
    <s v="ORD069"/>
    <x v="58"/>
    <s v="Bilal Ansari"/>
    <x v="1"/>
    <x v="2"/>
    <x v="6"/>
    <x v="0"/>
    <n v="10"/>
    <n v="36730"/>
    <n v="8529.4500000000007"/>
  </r>
  <r>
    <s v="ORD070"/>
    <x v="59"/>
    <s v="Saad Siddiqui"/>
    <x v="1"/>
    <x v="1"/>
    <x v="5"/>
    <x v="2"/>
    <n v="3"/>
    <n v="5601"/>
    <n v="1075.46"/>
  </r>
  <r>
    <s v="ORD071"/>
    <x v="60"/>
    <s v="Fatima Malik"/>
    <x v="0"/>
    <x v="1"/>
    <x v="2"/>
    <x v="1"/>
    <n v="5"/>
    <n v="24070"/>
    <n v="4392.21"/>
  </r>
  <r>
    <s v="ORD072"/>
    <x v="24"/>
    <s v="Farhan Ansari"/>
    <x v="1"/>
    <x v="1"/>
    <x v="4"/>
    <x v="2"/>
    <n v="7"/>
    <n v="17934"/>
    <n v="4692.07"/>
  </r>
  <r>
    <s v="ORD073"/>
    <x v="61"/>
    <s v="Omar Malik"/>
    <x v="1"/>
    <x v="3"/>
    <x v="8"/>
    <x v="0"/>
    <n v="10"/>
    <n v="34130"/>
    <n v="7450.87"/>
  </r>
  <r>
    <s v="ORD074"/>
    <x v="5"/>
    <s v="Zain Qureshi"/>
    <x v="1"/>
    <x v="2"/>
    <x v="2"/>
    <x v="1"/>
    <n v="5"/>
    <n v="22185"/>
    <n v="2877.46"/>
  </r>
  <r>
    <s v="ORD075"/>
    <x v="62"/>
    <s v="Hassan Siddiqui"/>
    <x v="1"/>
    <x v="0"/>
    <x v="0"/>
    <x v="0"/>
    <n v="2"/>
    <n v="4498"/>
    <n v="471.64"/>
  </r>
  <r>
    <s v="ORD076"/>
    <x v="63"/>
    <s v="Laiba Raza"/>
    <x v="0"/>
    <x v="1"/>
    <x v="9"/>
    <x v="1"/>
    <n v="10"/>
    <n v="23570"/>
    <n v="2521.27"/>
  </r>
  <r>
    <s v="ORD077"/>
    <x v="40"/>
    <s v="Ayesha Malik"/>
    <x v="0"/>
    <x v="1"/>
    <x v="8"/>
    <x v="0"/>
    <n v="9"/>
    <n v="9153"/>
    <n v="1293.9100000000001"/>
  </r>
  <r>
    <s v="ORD078"/>
    <x v="64"/>
    <s v="Anaya Ansari"/>
    <x v="1"/>
    <x v="2"/>
    <x v="11"/>
    <x v="2"/>
    <n v="6"/>
    <n v="9684"/>
    <n v="1214.46"/>
  </r>
  <r>
    <s v="ORD079"/>
    <x v="32"/>
    <s v="Ayesha Ansari"/>
    <x v="0"/>
    <x v="3"/>
    <x v="9"/>
    <x v="1"/>
    <n v="5"/>
    <n v="7785"/>
    <n v="858.23"/>
  </r>
  <r>
    <s v="ORD080"/>
    <x v="44"/>
    <s v="Ali Siddiqui"/>
    <x v="1"/>
    <x v="1"/>
    <x v="0"/>
    <x v="0"/>
    <n v="8"/>
    <n v="29024"/>
    <n v="5717.43"/>
  </r>
  <r>
    <s v="ORD081"/>
    <x v="50"/>
    <s v="Sana Raza"/>
    <x v="0"/>
    <x v="0"/>
    <x v="10"/>
    <x v="1"/>
    <n v="3"/>
    <n v="8604"/>
    <n v="990.76"/>
  </r>
  <r>
    <s v="ORD082"/>
    <x v="65"/>
    <s v="Omar Khan"/>
    <x v="1"/>
    <x v="1"/>
    <x v="9"/>
    <x v="1"/>
    <n v="2"/>
    <n v="8986"/>
    <n v="909.42"/>
  </r>
  <r>
    <s v="ORD083"/>
    <x v="66"/>
    <s v="Laiba Chaudhry"/>
    <x v="0"/>
    <x v="1"/>
    <x v="6"/>
    <x v="0"/>
    <n v="10"/>
    <n v="35880"/>
    <n v="9666.24"/>
  </r>
  <r>
    <s v="ORD084"/>
    <x v="67"/>
    <s v="Zain Ansari"/>
    <x v="1"/>
    <x v="0"/>
    <x v="0"/>
    <x v="0"/>
    <n v="8"/>
    <n v="34344"/>
    <n v="6633.84"/>
  </r>
  <r>
    <s v="ORD085"/>
    <x v="2"/>
    <s v="Anaya Raza"/>
    <x v="0"/>
    <x v="1"/>
    <x v="8"/>
    <x v="0"/>
    <n v="1"/>
    <n v="4253"/>
    <n v="1077.1300000000001"/>
  </r>
  <r>
    <s v="ORD086"/>
    <x v="23"/>
    <s v="Hira Qureshi"/>
    <x v="1"/>
    <x v="2"/>
    <x v="5"/>
    <x v="2"/>
    <n v="7"/>
    <n v="11858"/>
    <n v="1925.78"/>
  </r>
  <r>
    <s v="ORD087"/>
    <x v="68"/>
    <s v="Fatima Raza"/>
    <x v="0"/>
    <x v="1"/>
    <x v="11"/>
    <x v="2"/>
    <n v="5"/>
    <n v="13080"/>
    <n v="2154.5300000000002"/>
  </r>
  <r>
    <s v="ORD088"/>
    <x v="69"/>
    <s v="Iqra Qureshi"/>
    <x v="0"/>
    <x v="1"/>
    <x v="5"/>
    <x v="2"/>
    <n v="8"/>
    <n v="38064"/>
    <n v="6910.19"/>
  </r>
  <r>
    <s v="ORD089"/>
    <x v="70"/>
    <s v="Noor Malik"/>
    <x v="0"/>
    <x v="2"/>
    <x v="7"/>
    <x v="0"/>
    <n v="4"/>
    <n v="4732"/>
    <n v="1253.02"/>
  </r>
  <r>
    <s v="ORD090"/>
    <x v="71"/>
    <s v="Sana Butt"/>
    <x v="0"/>
    <x v="0"/>
    <x v="8"/>
    <x v="0"/>
    <n v="10"/>
    <n v="49000"/>
    <n v="6717.03"/>
  </r>
  <r>
    <s v="ORD091"/>
    <x v="72"/>
    <s v="Iqra Raza"/>
    <x v="0"/>
    <x v="0"/>
    <x v="8"/>
    <x v="0"/>
    <n v="7"/>
    <n v="31647"/>
    <n v="3873.92"/>
  </r>
  <r>
    <s v="ORD092"/>
    <x v="73"/>
    <s v="Hassan Malik"/>
    <x v="1"/>
    <x v="3"/>
    <x v="0"/>
    <x v="0"/>
    <n v="1"/>
    <n v="3665"/>
    <n v="654.28"/>
  </r>
  <r>
    <s v="ORD093"/>
    <x v="0"/>
    <s v="Hira Malik"/>
    <x v="1"/>
    <x v="0"/>
    <x v="6"/>
    <x v="0"/>
    <n v="7"/>
    <n v="10500"/>
    <n v="2305.15"/>
  </r>
  <r>
    <s v="ORD094"/>
    <x v="43"/>
    <s v="Anaya Siddiqui"/>
    <x v="1"/>
    <x v="0"/>
    <x v="1"/>
    <x v="1"/>
    <n v="6"/>
    <n v="25206"/>
    <n v="6927.3"/>
  </r>
  <r>
    <s v="ORD095"/>
    <x v="33"/>
    <s v="Bilal Chaudhry"/>
    <x v="1"/>
    <x v="2"/>
    <x v="5"/>
    <x v="2"/>
    <n v="3"/>
    <n v="5775"/>
    <n v="1360.91"/>
  </r>
  <r>
    <s v="ORD096"/>
    <x v="73"/>
    <s v="Mariam Chaudhry"/>
    <x v="1"/>
    <x v="3"/>
    <x v="3"/>
    <x v="2"/>
    <n v="2"/>
    <n v="3790"/>
    <n v="452.1"/>
  </r>
  <r>
    <s v="ORD097"/>
    <x v="55"/>
    <s v="Fatima Khan"/>
    <x v="0"/>
    <x v="3"/>
    <x v="4"/>
    <x v="2"/>
    <n v="8"/>
    <n v="31064"/>
    <n v="6098.39"/>
  </r>
  <r>
    <s v="ORD098"/>
    <x v="74"/>
    <s v="Zain Siddiqui"/>
    <x v="1"/>
    <x v="0"/>
    <x v="0"/>
    <x v="0"/>
    <n v="3"/>
    <n v="6744"/>
    <n v="1600.43"/>
  </r>
  <r>
    <s v="ORD099"/>
    <x v="75"/>
    <s v="Laiba Khan"/>
    <x v="0"/>
    <x v="1"/>
    <x v="8"/>
    <x v="0"/>
    <n v="6"/>
    <n v="20910"/>
    <n v="4704.67"/>
  </r>
  <r>
    <s v="ORD100"/>
    <x v="76"/>
    <s v="Bilal Butt"/>
    <x v="1"/>
    <x v="2"/>
    <x v="9"/>
    <x v="1"/>
    <n v="10"/>
    <n v="21320"/>
    <n v="2148.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F9EF3B-9BC6-40AF-8F4D-F94F700E05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1">
    <pivotField showAll="0"/>
    <pivotField numFmtId="164" showAll="0">
      <items count="78">
        <item h="1" x="70"/>
        <item h="1" x="61"/>
        <item h="1" x="38"/>
        <item h="1" x="16"/>
        <item h="1" x="53"/>
        <item h="1" x="58"/>
        <item h="1" x="56"/>
        <item h="1" x="34"/>
        <item h="1" x="50"/>
        <item h="1" x="40"/>
        <item h="1" x="36"/>
        <item h="1" x="6"/>
        <item h="1" x="44"/>
        <item h="1" x="74"/>
        <item h="1" x="33"/>
        <item h="1" x="13"/>
        <item h="1" x="24"/>
        <item h="1" x="29"/>
        <item h="1" x="42"/>
        <item h="1" x="46"/>
        <item h="1" x="3"/>
        <item h="1" x="47"/>
        <item h="1" x="19"/>
        <item h="1" x="9"/>
        <item h="1" x="39"/>
        <item h="1" x="45"/>
        <item h="1" x="25"/>
        <item h="1" x="11"/>
        <item h="1" x="66"/>
        <item h="1" x="68"/>
        <item h="1" x="14"/>
        <item h="1" x="8"/>
        <item h="1" x="1"/>
        <item h="1" x="65"/>
        <item h="1" x="27"/>
        <item h="1" x="31"/>
        <item h="1" x="41"/>
        <item h="1" x="4"/>
        <item h="1" x="20"/>
        <item h="1" x="12"/>
        <item h="1" x="35"/>
        <item h="1" x="15"/>
        <item h="1" x="64"/>
        <item h="1" x="63"/>
        <item h="1" x="76"/>
        <item h="1" x="28"/>
        <item h="1" x="0"/>
        <item h="1" x="69"/>
        <item h="1" x="72"/>
        <item h="1" x="26"/>
        <item h="1" x="71"/>
        <item h="1" x="59"/>
        <item h="1" x="60"/>
        <item h="1" x="49"/>
        <item h="1" x="21"/>
        <item h="1" x="2"/>
        <item h="1" x="22"/>
        <item h="1" x="54"/>
        <item h="1" x="52"/>
        <item h="1" x="37"/>
        <item h="1" x="10"/>
        <item h="1" x="51"/>
        <item h="1" x="67"/>
        <item h="1" x="30"/>
        <item h="1" x="57"/>
        <item h="1" x="23"/>
        <item h="1" x="5"/>
        <item h="1" x="32"/>
        <item h="1" x="17"/>
        <item h="1" x="7"/>
        <item h="1" x="75"/>
        <item h="1" x="48"/>
        <item h="1" x="73"/>
        <item h="1" x="55"/>
        <item x="62"/>
        <item h="1" x="43"/>
        <item h="1" x="18"/>
        <item t="default"/>
      </items>
    </pivotField>
    <pivotField showAll="0"/>
    <pivotField showAll="0">
      <items count="3">
        <item x="0"/>
        <item x="1"/>
        <item t="default"/>
      </items>
    </pivotField>
    <pivotField showAll="0">
      <items count="5">
        <item x="3"/>
        <item x="2"/>
        <item x="1"/>
        <item x="0"/>
        <item t="default"/>
      </items>
    </pivotField>
    <pivotField showAll="0"/>
    <pivotField showAll="0">
      <items count="4">
        <item x="2"/>
        <item x="0"/>
        <item x="1"/>
        <item t="default"/>
      </items>
    </pivotField>
    <pivotField showAll="0"/>
    <pivotField dataField="1" showAll="0"/>
    <pivotField numFmtId="165" showAll="0"/>
    <pivotField axis="axisRow" showAll="0">
      <items count="15">
        <item x="0"/>
        <item x="1"/>
        <item x="2"/>
        <item x="3"/>
        <item x="4"/>
        <item x="5"/>
        <item x="6"/>
        <item x="7"/>
        <item x="8"/>
        <item x="9"/>
        <item x="10"/>
        <item x="11"/>
        <item x="12"/>
        <item x="13"/>
        <item t="default"/>
      </items>
    </pivotField>
  </pivotFields>
  <rowFields count="1">
    <field x="10"/>
  </rowFields>
  <rowItems count="7">
    <i>
      <x v="1"/>
    </i>
    <i>
      <x v="2"/>
    </i>
    <i>
      <x v="3"/>
    </i>
    <i>
      <x v="4"/>
    </i>
    <i>
      <x v="5"/>
    </i>
    <i>
      <x v="6"/>
    </i>
    <i t="grand">
      <x/>
    </i>
  </rowItems>
  <colItems count="1">
    <i/>
  </colItems>
  <dataFields count="1">
    <dataField name="Sum of Sales_Amount" fld="8"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4"/>
          </reference>
        </references>
      </pivotArea>
    </chartFormat>
    <chartFormat chart="0" format="5">
      <pivotArea type="data" outline="0" fieldPosition="0">
        <references count="2">
          <reference field="4294967294" count="1" selected="0">
            <x v="0"/>
          </reference>
          <reference field="10" count="1" selected="0">
            <x v="5"/>
          </reference>
        </references>
      </pivotArea>
    </chartFormat>
    <chartFormat chart="0" format="6">
      <pivotArea type="data" outline="0" fieldPosition="0">
        <references count="2">
          <reference field="4294967294" count="1" selected="0">
            <x v="0"/>
          </reference>
          <reference field="10" count="1" selected="0">
            <x v="6"/>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10" count="1" selected="0">
            <x v="1"/>
          </reference>
        </references>
      </pivotArea>
    </chartFormat>
    <chartFormat chart="13" format="16">
      <pivotArea type="data" outline="0" fieldPosition="0">
        <references count="2">
          <reference field="4294967294" count="1" selected="0">
            <x v="0"/>
          </reference>
          <reference field="10" count="1" selected="0">
            <x v="2"/>
          </reference>
        </references>
      </pivotArea>
    </chartFormat>
    <chartFormat chart="13" format="17">
      <pivotArea type="data" outline="0" fieldPosition="0">
        <references count="2">
          <reference field="4294967294" count="1" selected="0">
            <x v="0"/>
          </reference>
          <reference field="10" count="1" selected="0">
            <x v="3"/>
          </reference>
        </references>
      </pivotArea>
    </chartFormat>
    <chartFormat chart="13" format="18">
      <pivotArea type="data" outline="0" fieldPosition="0">
        <references count="2">
          <reference field="4294967294" count="1" selected="0">
            <x v="0"/>
          </reference>
          <reference field="10" count="1" selected="0">
            <x v="4"/>
          </reference>
        </references>
      </pivotArea>
    </chartFormat>
    <chartFormat chart="13" format="19">
      <pivotArea type="data" outline="0" fieldPosition="0">
        <references count="2">
          <reference field="4294967294" count="1" selected="0">
            <x v="0"/>
          </reference>
          <reference field="10" count="1" selected="0">
            <x v="5"/>
          </reference>
        </references>
      </pivotArea>
    </chartFormat>
    <chartFormat chart="13" format="20">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880CF-62CA-465A-A408-7C917B8B559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8" firstHeaderRow="1" firstDataRow="1" firstDataCol="1"/>
  <pivotFields count="11">
    <pivotField showAll="0"/>
    <pivotField numFmtId="164" showAll="0">
      <items count="78">
        <item x="70"/>
        <item x="61"/>
        <item x="38"/>
        <item x="16"/>
        <item x="53"/>
        <item x="58"/>
        <item x="56"/>
        <item x="34"/>
        <item x="50"/>
        <item x="40"/>
        <item x="36"/>
        <item x="6"/>
        <item x="44"/>
        <item x="74"/>
        <item x="33"/>
        <item x="13"/>
        <item x="24"/>
        <item x="29"/>
        <item x="42"/>
        <item x="46"/>
        <item x="3"/>
        <item x="47"/>
        <item x="19"/>
        <item x="9"/>
        <item x="39"/>
        <item x="45"/>
        <item x="25"/>
        <item x="11"/>
        <item x="66"/>
        <item x="68"/>
        <item x="14"/>
        <item x="8"/>
        <item x="1"/>
        <item x="65"/>
        <item x="27"/>
        <item x="31"/>
        <item x="41"/>
        <item x="4"/>
        <item x="20"/>
        <item x="12"/>
        <item x="35"/>
        <item x="15"/>
        <item x="64"/>
        <item x="63"/>
        <item x="76"/>
        <item x="28"/>
        <item x="0"/>
        <item x="69"/>
        <item x="72"/>
        <item x="26"/>
        <item x="71"/>
        <item x="59"/>
        <item x="60"/>
        <item x="49"/>
        <item x="21"/>
        <item x="2"/>
        <item x="22"/>
        <item x="54"/>
        <item x="52"/>
        <item x="37"/>
        <item x="10"/>
        <item x="51"/>
        <item x="67"/>
        <item x="30"/>
        <item x="57"/>
        <item x="23"/>
        <item x="5"/>
        <item x="32"/>
        <item x="17"/>
        <item x="7"/>
        <item x="75"/>
        <item x="48"/>
        <item x="73"/>
        <item x="55"/>
        <item x="62"/>
        <item x="43"/>
        <item x="18"/>
        <item t="default"/>
      </items>
    </pivotField>
    <pivotField showAll="0"/>
    <pivotField showAll="0">
      <items count="3">
        <item x="0"/>
        <item x="1"/>
        <item t="default"/>
      </items>
    </pivotField>
    <pivotField axis="axisRow" showAll="0">
      <items count="5">
        <item x="3"/>
        <item x="2"/>
        <item x="1"/>
        <item x="0"/>
        <item t="default"/>
      </items>
    </pivotField>
    <pivotField showAll="0"/>
    <pivotField showAll="0">
      <items count="4">
        <item x="2"/>
        <item x="0"/>
        <item x="1"/>
        <item t="default"/>
      </items>
    </pivotField>
    <pivotField showAll="0"/>
    <pivotField dataField="1" showAll="0"/>
    <pivotField numFmtId="165" showAl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00CA1C-9A5E-42AF-8E48-A7A9202436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1">
    <pivotField showAll="0"/>
    <pivotField numFmtId="164" showAll="0">
      <items count="78">
        <item x="70"/>
        <item x="61"/>
        <item x="38"/>
        <item x="16"/>
        <item x="53"/>
        <item x="58"/>
        <item x="56"/>
        <item x="34"/>
        <item x="50"/>
        <item x="40"/>
        <item x="36"/>
        <item x="6"/>
        <item x="44"/>
        <item x="74"/>
        <item x="33"/>
        <item x="13"/>
        <item x="24"/>
        <item x="29"/>
        <item x="42"/>
        <item x="46"/>
        <item x="3"/>
        <item x="47"/>
        <item x="19"/>
        <item x="9"/>
        <item x="39"/>
        <item x="45"/>
        <item x="25"/>
        <item x="11"/>
        <item x="66"/>
        <item x="68"/>
        <item x="14"/>
        <item x="8"/>
        <item x="1"/>
        <item x="65"/>
        <item x="27"/>
        <item x="31"/>
        <item x="41"/>
        <item x="4"/>
        <item x="20"/>
        <item x="12"/>
        <item x="35"/>
        <item x="15"/>
        <item x="64"/>
        <item x="63"/>
        <item x="76"/>
        <item x="28"/>
        <item x="0"/>
        <item x="69"/>
        <item x="72"/>
        <item x="26"/>
        <item x="71"/>
        <item x="59"/>
        <item x="60"/>
        <item x="49"/>
        <item x="21"/>
        <item x="2"/>
        <item x="22"/>
        <item x="54"/>
        <item x="52"/>
        <item x="37"/>
        <item x="10"/>
        <item x="51"/>
        <item x="67"/>
        <item x="30"/>
        <item x="57"/>
        <item x="23"/>
        <item x="5"/>
        <item x="32"/>
        <item x="17"/>
        <item x="7"/>
        <item x="75"/>
        <item x="48"/>
        <item x="73"/>
        <item x="55"/>
        <item x="62"/>
        <item x="43"/>
        <item x="18"/>
        <item t="default"/>
      </items>
    </pivotField>
    <pivotField showAll="0"/>
    <pivotField showAll="0">
      <items count="3">
        <item x="0"/>
        <item x="1"/>
        <item t="default"/>
      </items>
    </pivotField>
    <pivotField showAll="0">
      <items count="5">
        <item x="3"/>
        <item x="2"/>
        <item x="1"/>
        <item x="0"/>
        <item t="default"/>
      </items>
    </pivotField>
    <pivotField showAll="0"/>
    <pivotField axis="axisRow" showAll="0">
      <items count="4">
        <item x="2"/>
        <item x="0"/>
        <item x="1"/>
        <item t="default"/>
      </items>
    </pivotField>
    <pivotField showAll="0"/>
    <pivotField showAll="0"/>
    <pivotField dataField="1" numFmtId="165" showAl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Sum of Profit" fld="9"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pivotArea type="data" outline="0" fieldPosition="0">
        <references count="2">
          <reference field="4294967294" count="1" selected="0">
            <x v="0"/>
          </reference>
          <reference field="6"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 chart="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11777F-2934-4ECF-A8B9-75F4E7CC05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1">
    <pivotField showAll="0"/>
    <pivotField numFmtId="164" showAll="0">
      <items count="78">
        <item x="70"/>
        <item x="61"/>
        <item x="38"/>
        <item x="16"/>
        <item x="53"/>
        <item x="58"/>
        <item x="56"/>
        <item x="34"/>
        <item x="50"/>
        <item x="40"/>
        <item x="36"/>
        <item x="6"/>
        <item x="44"/>
        <item x="74"/>
        <item x="33"/>
        <item x="13"/>
        <item x="24"/>
        <item x="29"/>
        <item x="42"/>
        <item x="46"/>
        <item x="3"/>
        <item x="47"/>
        <item x="19"/>
        <item x="9"/>
        <item x="39"/>
        <item x="45"/>
        <item x="25"/>
        <item x="11"/>
        <item x="66"/>
        <item x="68"/>
        <item x="14"/>
        <item x="8"/>
        <item x="1"/>
        <item x="65"/>
        <item x="27"/>
        <item x="31"/>
        <item x="41"/>
        <item x="4"/>
        <item x="20"/>
        <item x="12"/>
        <item x="35"/>
        <item x="15"/>
        <item x="64"/>
        <item x="63"/>
        <item x="76"/>
        <item x="28"/>
        <item x="0"/>
        <item x="69"/>
        <item x="72"/>
        <item x="26"/>
        <item x="71"/>
        <item x="59"/>
        <item x="60"/>
        <item x="49"/>
        <item x="21"/>
        <item x="2"/>
        <item x="22"/>
        <item x="54"/>
        <item x="52"/>
        <item x="37"/>
        <item x="10"/>
        <item x="51"/>
        <item x="67"/>
        <item x="30"/>
        <item x="57"/>
        <item x="23"/>
        <item x="5"/>
        <item x="32"/>
        <item x="17"/>
        <item x="7"/>
        <item x="75"/>
        <item x="48"/>
        <item x="73"/>
        <item x="55"/>
        <item x="62"/>
        <item x="43"/>
        <item x="18"/>
        <item t="default"/>
      </items>
    </pivotField>
    <pivotField showAll="0"/>
    <pivotField showAll="0">
      <items count="3">
        <item x="0"/>
        <item x="1"/>
        <item t="default"/>
      </items>
    </pivotField>
    <pivotField showAll="0">
      <items count="5">
        <item x="3"/>
        <item x="2"/>
        <item x="1"/>
        <item x="0"/>
        <item t="default"/>
      </items>
    </pivotField>
    <pivotField axis="axisRow" showAll="0" measureFilter="1">
      <items count="13">
        <item x="1"/>
        <item x="9"/>
        <item x="0"/>
        <item x="4"/>
        <item x="3"/>
        <item x="7"/>
        <item x="6"/>
        <item x="5"/>
        <item x="11"/>
        <item x="10"/>
        <item x="2"/>
        <item x="8"/>
        <item t="default"/>
      </items>
    </pivotField>
    <pivotField showAll="0">
      <items count="4">
        <item x="2"/>
        <item x="0"/>
        <item x="1"/>
        <item t="default"/>
      </items>
    </pivotField>
    <pivotField showAll="0"/>
    <pivotField dataField="1" showAll="0"/>
    <pivotField numFmtId="165" showAll="0"/>
    <pivotField showAll="0" defaultSubtotal="0">
      <items count="14">
        <item x="0"/>
        <item x="1"/>
        <item x="2"/>
        <item x="3"/>
        <item x="4"/>
        <item x="5"/>
        <item x="6"/>
        <item x="7"/>
        <item x="8"/>
        <item x="9"/>
        <item x="10"/>
        <item x="11"/>
        <item x="12"/>
        <item x="13"/>
      </items>
    </pivotField>
  </pivotFields>
  <rowFields count="1">
    <field x="5"/>
  </rowFields>
  <rowItems count="6">
    <i>
      <x v="1"/>
    </i>
    <i>
      <x v="2"/>
    </i>
    <i>
      <x v="3"/>
    </i>
    <i>
      <x v="6"/>
    </i>
    <i>
      <x v="11"/>
    </i>
    <i t="grand">
      <x/>
    </i>
  </rowItems>
  <colItems count="1">
    <i/>
  </colItems>
  <dataFields count="1">
    <dataField name="Sum of Sales_Amount"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7AD5D0-97DF-4056-B26B-1F7C9266E9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11">
    <pivotField showAll="0"/>
    <pivotField numFmtId="164" showAll="0">
      <items count="78">
        <item x="70"/>
        <item x="61"/>
        <item x="38"/>
        <item x="16"/>
        <item x="53"/>
        <item x="58"/>
        <item x="56"/>
        <item x="34"/>
        <item x="50"/>
        <item x="40"/>
        <item x="36"/>
        <item x="6"/>
        <item x="44"/>
        <item x="74"/>
        <item x="33"/>
        <item x="13"/>
        <item x="24"/>
        <item x="29"/>
        <item x="42"/>
        <item x="46"/>
        <item x="3"/>
        <item x="47"/>
        <item x="19"/>
        <item x="9"/>
        <item x="39"/>
        <item x="45"/>
        <item x="25"/>
        <item x="11"/>
        <item x="66"/>
        <item x="68"/>
        <item x="14"/>
        <item x="8"/>
        <item x="1"/>
        <item x="65"/>
        <item x="27"/>
        <item x="31"/>
        <item x="41"/>
        <item x="4"/>
        <item x="20"/>
        <item x="12"/>
        <item x="35"/>
        <item x="15"/>
        <item x="64"/>
        <item x="63"/>
        <item x="76"/>
        <item x="28"/>
        <item x="0"/>
        <item x="69"/>
        <item x="72"/>
        <item x="26"/>
        <item x="71"/>
        <item x="59"/>
        <item x="60"/>
        <item x="49"/>
        <item x="21"/>
        <item x="2"/>
        <item x="22"/>
        <item x="54"/>
        <item x="52"/>
        <item x="37"/>
        <item x="10"/>
        <item x="51"/>
        <item x="67"/>
        <item x="30"/>
        <item x="57"/>
        <item x="23"/>
        <item x="5"/>
        <item x="32"/>
        <item x="17"/>
        <item x="7"/>
        <item x="75"/>
        <item x="48"/>
        <item x="73"/>
        <item x="55"/>
        <item x="62"/>
        <item x="43"/>
        <item x="18"/>
        <item t="default"/>
      </items>
    </pivotField>
    <pivotField showAll="0"/>
    <pivotField axis="axisRow" showAll="0">
      <items count="3">
        <item x="0"/>
        <item x="1"/>
        <item t="default"/>
      </items>
    </pivotField>
    <pivotField showAll="0">
      <items count="5">
        <item x="3"/>
        <item x="2"/>
        <item x="1"/>
        <item x="0"/>
        <item t="default"/>
      </items>
    </pivotField>
    <pivotField showAll="0"/>
    <pivotField showAll="0">
      <items count="4">
        <item x="2"/>
        <item x="0"/>
        <item x="1"/>
        <item t="default"/>
      </items>
    </pivotField>
    <pivotField showAll="0"/>
    <pivotField dataField="1" showAll="0"/>
    <pivotField numFmtId="165" showAl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Sum of Sales_Amount" fld="8" baseField="0" baseItem="0"/>
  </dataFields>
  <chartFormats count="6">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1"/>
          </reference>
        </references>
      </pivotArea>
    </chartFormat>
    <chartFormat chart="8" format="2">
      <pivotArea type="data" outline="0" fieldPosition="0">
        <references count="2">
          <reference field="4294967294" count="1" selected="0">
            <x v="0"/>
          </reference>
          <reference field="3"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3" count="1" selected="0">
            <x v="0"/>
          </reference>
        </references>
      </pivotArea>
    </chartFormat>
    <chartFormat chart="19"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6DD21A0-5804-4A7F-B6B0-0FD92E32E6C7}" sourceName="Months (Order_Date)">
  <pivotTables>
    <pivotTable tabId="2" name="PivotTable1"/>
    <pivotTable tabId="5" name="PivotTable4"/>
    <pivotTable tabId="4" name="PivotTable3"/>
    <pivotTable tabId="6" name="PivotTable1"/>
    <pivotTable tabId="3" name="PivotTable2"/>
  </pivotTables>
  <data>
    <tabular pivotCacheId="986048775">
      <items count="14">
        <i x="1" s="1"/>
        <i x="2" s="1"/>
        <i x="3" s="1"/>
        <i x="4" s="1"/>
        <i x="5" s="1"/>
        <i x="6" s="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4F8394-DEF9-4F3E-B228-6AF44DB6D2EE}" sourceName="Category">
  <pivotTables>
    <pivotTable tabId="2" name="PivotTable1"/>
    <pivotTable tabId="5" name="PivotTable4"/>
    <pivotTable tabId="4" name="PivotTable3"/>
    <pivotTable tabId="6" name="PivotTable1"/>
    <pivotTable tabId="3" name="PivotTable2"/>
  </pivotTables>
  <data>
    <tabular pivotCacheId="98604877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864B7B-22B6-408D-B569-5FC6F4899AAE}" sourceName="Region">
  <pivotTables>
    <pivotTable tabId="2" name="PivotTable1"/>
    <pivotTable tabId="5" name="PivotTable4"/>
    <pivotTable tabId="4" name="PivotTable3"/>
    <pivotTable tabId="6" name="PivotTable1"/>
    <pivotTable tabId="3" name="PivotTable2"/>
  </pivotTables>
  <data>
    <tabular pivotCacheId="986048775">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EEFC6EE-DEAE-4579-96D8-9EC4F8109127}" sourceName="Gender">
  <pivotTables>
    <pivotTable tabId="3" name="PivotTable2"/>
    <pivotTable tabId="5" name="PivotTable4"/>
    <pivotTable tabId="4" name="PivotTable3"/>
    <pivotTable tabId="6" name="PivotTable1"/>
    <pivotTable tabId="2" name="PivotTable1"/>
  </pivotTables>
  <data>
    <tabular pivotCacheId="98604877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D6CDCF44-6F34-4238-9CE2-72F032908C54}" cache="Slicer_Months__Order_Date" caption="Months (Order_Date)" rowHeight="241300"/>
  <slicer name="Category" xr10:uid="{33691561-5DA6-4FE0-A333-24771068B5CE}" cache="Slicer_Category" caption="Category" rowHeight="241300"/>
  <slicer name="Region" xr10:uid="{BA24F081-E598-4221-9E93-131B597067D6}" cache="Slicer_Region" caption="Region" rowHeight="241300"/>
  <slicer name="Gender" xr10:uid="{A16A5D28-E26D-4383-9F50-DD098ADFEAE9}"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8E6377-1B87-40FE-8E11-23D49132E24F}" name="Table1" displayName="Table1" ref="A1:J101" totalsRowShown="0" headerRowDxfId="13" dataDxfId="11" headerRowBorderDxfId="12" tableBorderDxfId="10">
  <autoFilter ref="A1:J101" xr:uid="{A58E6377-1B87-40FE-8E11-23D49132E24F}"/>
  <tableColumns count="10">
    <tableColumn id="1" xr3:uid="{7DF3BBC5-FBFA-40F2-8016-485212562F69}" name="Order_ID" dataDxfId="9"/>
    <tableColumn id="2" xr3:uid="{B339370F-F6CC-4DAD-AF00-4F3499F3D17B}" name="Order_Date" dataDxfId="8"/>
    <tableColumn id="3" xr3:uid="{4C21521A-2812-4D9B-97AA-1565410D3579}" name="Customer_Name" dataDxfId="7"/>
    <tableColumn id="4" xr3:uid="{C32C74E0-9743-4215-B1CE-A616C8B0159C}" name="Gender" dataDxfId="6"/>
    <tableColumn id="5" xr3:uid="{2981D21F-2F93-409D-96C8-28DB5FC4B66B}" name="Region" dataDxfId="5"/>
    <tableColumn id="6" xr3:uid="{4348131F-233F-41CF-9669-80FAF7B5882F}" name="Product_Name" dataDxfId="4"/>
    <tableColumn id="7" xr3:uid="{E45D44D8-4BAA-4E92-9A01-B425B6E3E2C0}" name="Category" dataDxfId="3"/>
    <tableColumn id="8" xr3:uid="{5654AAC0-ED2D-4190-9E99-4222D32D33D7}" name="Quantity" dataDxfId="2"/>
    <tableColumn id="9" xr3:uid="{C54345C1-139B-43DE-AA62-EF131C0DA4A8}" name="Sales_Amount" dataDxfId="1"/>
    <tableColumn id="10" xr3:uid="{A2B64849-1BCA-459C-B3CD-539D86FE113C}"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3B25-983E-4394-8EE2-2562639FDADA}">
  <dimension ref="A3:B10"/>
  <sheetViews>
    <sheetView workbookViewId="0">
      <selection activeCell="H25" sqref="H25"/>
    </sheetView>
  </sheetViews>
  <sheetFormatPr defaultRowHeight="15" x14ac:dyDescent="0.25"/>
  <cols>
    <col min="1" max="1" width="13.140625" bestFit="1" customWidth="1"/>
    <col min="2" max="2" width="20.5703125" bestFit="1" customWidth="1"/>
  </cols>
  <sheetData>
    <row r="3" spans="1:2" x14ac:dyDescent="0.25">
      <c r="A3" s="7" t="s">
        <v>210</v>
      </c>
      <c r="B3" t="s">
        <v>213</v>
      </c>
    </row>
    <row r="4" spans="1:2" x14ac:dyDescent="0.25">
      <c r="A4" s="8" t="s">
        <v>215</v>
      </c>
      <c r="B4">
        <v>140377</v>
      </c>
    </row>
    <row r="5" spans="1:2" x14ac:dyDescent="0.25">
      <c r="A5" s="8" t="s">
        <v>212</v>
      </c>
      <c r="B5">
        <v>356146</v>
      </c>
    </row>
    <row r="6" spans="1:2" x14ac:dyDescent="0.25">
      <c r="A6" s="8" t="s">
        <v>216</v>
      </c>
      <c r="B6">
        <v>275184</v>
      </c>
    </row>
    <row r="7" spans="1:2" x14ac:dyDescent="0.25">
      <c r="A7" s="8" t="s">
        <v>217</v>
      </c>
      <c r="B7">
        <v>253913</v>
      </c>
    </row>
    <row r="8" spans="1:2" x14ac:dyDescent="0.25">
      <c r="A8" s="8" t="s">
        <v>218</v>
      </c>
      <c r="B8">
        <v>337728</v>
      </c>
    </row>
    <row r="9" spans="1:2" x14ac:dyDescent="0.25">
      <c r="A9" s="8" t="s">
        <v>219</v>
      </c>
      <c r="B9">
        <v>263885</v>
      </c>
    </row>
    <row r="10" spans="1:2" x14ac:dyDescent="0.25">
      <c r="A10" s="8" t="s">
        <v>211</v>
      </c>
      <c r="B10">
        <v>1627233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53E31-1DC5-4781-B363-348BD0CF4B40}">
  <dimension ref="A3:B8"/>
  <sheetViews>
    <sheetView workbookViewId="0">
      <selection activeCell="M8" sqref="M8"/>
    </sheetView>
  </sheetViews>
  <sheetFormatPr defaultRowHeight="15" x14ac:dyDescent="0.25"/>
  <cols>
    <col min="1" max="1" width="13.140625" bestFit="1" customWidth="1"/>
    <col min="2" max="2" width="20.5703125" bestFit="1" customWidth="1"/>
  </cols>
  <sheetData>
    <row r="3" spans="1:2" x14ac:dyDescent="0.25">
      <c r="A3" s="7" t="s">
        <v>210</v>
      </c>
      <c r="B3" t="s">
        <v>213</v>
      </c>
    </row>
    <row r="4" spans="1:2" x14ac:dyDescent="0.25">
      <c r="A4" s="8" t="s">
        <v>194</v>
      </c>
      <c r="B4">
        <v>240635</v>
      </c>
    </row>
    <row r="5" spans="1:2" x14ac:dyDescent="0.25">
      <c r="A5" s="8" t="s">
        <v>193</v>
      </c>
      <c r="B5">
        <v>415756</v>
      </c>
    </row>
    <row r="6" spans="1:2" x14ac:dyDescent="0.25">
      <c r="A6" s="8" t="s">
        <v>192</v>
      </c>
      <c r="B6">
        <v>650559</v>
      </c>
    </row>
    <row r="7" spans="1:2" x14ac:dyDescent="0.25">
      <c r="A7" s="8" t="s">
        <v>191</v>
      </c>
      <c r="B7">
        <v>320283</v>
      </c>
    </row>
    <row r="8" spans="1:2" x14ac:dyDescent="0.25">
      <c r="A8" s="8" t="s">
        <v>211</v>
      </c>
      <c r="B8">
        <v>1627233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B1F2-B11C-425A-9ADC-56B341554AC3}">
  <dimension ref="A3:B7"/>
  <sheetViews>
    <sheetView workbookViewId="0">
      <selection activeCell="M21" sqref="M21"/>
    </sheetView>
  </sheetViews>
  <sheetFormatPr defaultRowHeight="15" x14ac:dyDescent="0.25"/>
  <cols>
    <col min="1" max="1" width="13.140625" bestFit="1" customWidth="1"/>
    <col min="2" max="2" width="12.5703125" bestFit="1" customWidth="1"/>
  </cols>
  <sheetData>
    <row r="3" spans="1:2" x14ac:dyDescent="0.25">
      <c r="A3" s="7" t="s">
        <v>210</v>
      </c>
      <c r="B3" t="s">
        <v>214</v>
      </c>
    </row>
    <row r="4" spans="1:2" x14ac:dyDescent="0.25">
      <c r="A4" s="8" t="s">
        <v>209</v>
      </c>
      <c r="B4" s="9">
        <v>102171.35000000003</v>
      </c>
    </row>
    <row r="5" spans="1:2" x14ac:dyDescent="0.25">
      <c r="A5" s="8" t="s">
        <v>207</v>
      </c>
      <c r="B5" s="9">
        <v>124922.15</v>
      </c>
    </row>
    <row r="6" spans="1:2" x14ac:dyDescent="0.25">
      <c r="A6" s="8" t="s">
        <v>208</v>
      </c>
      <c r="B6" s="9">
        <v>71521.589999999982</v>
      </c>
    </row>
    <row r="7" spans="1:2" x14ac:dyDescent="0.25">
      <c r="A7" s="8" t="s">
        <v>211</v>
      </c>
      <c r="B7" s="9">
        <v>298615.09000000003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3FD3-5E0F-4A50-884E-E0992B785929}">
  <dimension ref="A3:B9"/>
  <sheetViews>
    <sheetView workbookViewId="0">
      <selection activeCell="L25" sqref="L25"/>
    </sheetView>
  </sheetViews>
  <sheetFormatPr defaultRowHeight="15" x14ac:dyDescent="0.25"/>
  <cols>
    <col min="1" max="1" width="13.140625" bestFit="1" customWidth="1"/>
    <col min="2" max="2" width="20.5703125" bestFit="1" customWidth="1"/>
  </cols>
  <sheetData>
    <row r="3" spans="1:2" x14ac:dyDescent="0.25">
      <c r="A3" s="7" t="s">
        <v>210</v>
      </c>
      <c r="B3" t="s">
        <v>213</v>
      </c>
    </row>
    <row r="4" spans="1:2" x14ac:dyDescent="0.25">
      <c r="A4" s="8" t="s">
        <v>204</v>
      </c>
      <c r="B4">
        <v>152618</v>
      </c>
    </row>
    <row r="5" spans="1:2" x14ac:dyDescent="0.25">
      <c r="A5" s="8" t="s">
        <v>195</v>
      </c>
      <c r="B5">
        <v>151819</v>
      </c>
    </row>
    <row r="6" spans="1:2" x14ac:dyDescent="0.25">
      <c r="A6" s="8" t="s">
        <v>199</v>
      </c>
      <c r="B6">
        <v>205142</v>
      </c>
    </row>
    <row r="7" spans="1:2" x14ac:dyDescent="0.25">
      <c r="A7" s="8" t="s">
        <v>201</v>
      </c>
      <c r="B7">
        <v>190764</v>
      </c>
    </row>
    <row r="8" spans="1:2" x14ac:dyDescent="0.25">
      <c r="A8" s="8" t="s">
        <v>203</v>
      </c>
      <c r="B8">
        <v>218061</v>
      </c>
    </row>
    <row r="9" spans="1:2" x14ac:dyDescent="0.25">
      <c r="A9" s="8" t="s">
        <v>211</v>
      </c>
      <c r="B9">
        <v>918404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78A4-6966-4AC0-BB47-A9FC832A4F98}">
  <dimension ref="A3:B6"/>
  <sheetViews>
    <sheetView workbookViewId="0">
      <selection activeCell="J22" sqref="J22"/>
    </sheetView>
  </sheetViews>
  <sheetFormatPr defaultRowHeight="15" x14ac:dyDescent="0.25"/>
  <cols>
    <col min="1" max="1" width="13.140625" bestFit="1" customWidth="1"/>
    <col min="2" max="2" width="20.5703125" bestFit="1" customWidth="1"/>
  </cols>
  <sheetData>
    <row r="3" spans="1:2" x14ac:dyDescent="0.25">
      <c r="A3" s="7" t="s">
        <v>210</v>
      </c>
      <c r="B3" t="s">
        <v>213</v>
      </c>
    </row>
    <row r="4" spans="1:2" x14ac:dyDescent="0.25">
      <c r="A4" s="8" t="s">
        <v>189</v>
      </c>
      <c r="B4">
        <v>663086</v>
      </c>
    </row>
    <row r="5" spans="1:2" x14ac:dyDescent="0.25">
      <c r="A5" s="8" t="s">
        <v>190</v>
      </c>
      <c r="B5">
        <v>964147</v>
      </c>
    </row>
    <row r="6" spans="1:2" x14ac:dyDescent="0.25">
      <c r="A6" s="8" t="s">
        <v>211</v>
      </c>
      <c r="B6">
        <v>1627233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A2" workbookViewId="0">
      <selection activeCell="A3" sqref="A3"/>
    </sheetView>
  </sheetViews>
  <sheetFormatPr defaultRowHeight="15" x14ac:dyDescent="0.25"/>
  <cols>
    <col min="1" max="1" width="16.7109375" style="3" customWidth="1"/>
    <col min="2" max="2" width="20" style="4" customWidth="1"/>
    <col min="3" max="3" width="20.140625" style="3" customWidth="1"/>
    <col min="4" max="4" width="15.140625" style="3" customWidth="1"/>
    <col min="5" max="5" width="14" style="3" customWidth="1"/>
    <col min="6" max="6" width="20.85546875" style="3" customWidth="1"/>
    <col min="7" max="7" width="17.42578125" style="3" customWidth="1"/>
    <col min="8" max="8" width="15.7109375" style="3" customWidth="1"/>
    <col min="9" max="9" width="17.5703125" style="3" customWidth="1"/>
    <col min="10" max="10" width="16.140625" style="6" customWidth="1"/>
    <col min="11" max="16384" width="9.140625" style="3"/>
  </cols>
  <sheetData>
    <row r="1" spans="1:10" x14ac:dyDescent="0.25">
      <c r="A1" s="1" t="s">
        <v>0</v>
      </c>
      <c r="B1" s="2" t="s">
        <v>1</v>
      </c>
      <c r="C1" s="1" t="s">
        <v>2</v>
      </c>
      <c r="D1" s="1" t="s">
        <v>3</v>
      </c>
      <c r="E1" s="1" t="s">
        <v>4</v>
      </c>
      <c r="F1" s="1" t="s">
        <v>5</v>
      </c>
      <c r="G1" s="1" t="s">
        <v>6</v>
      </c>
      <c r="H1" s="1" t="s">
        <v>7</v>
      </c>
      <c r="I1" s="1" t="s">
        <v>8</v>
      </c>
      <c r="J1" s="5" t="s">
        <v>9</v>
      </c>
    </row>
    <row r="2" spans="1:10" x14ac:dyDescent="0.25">
      <c r="A2" s="3" t="s">
        <v>10</v>
      </c>
      <c r="B2" s="4">
        <v>45774</v>
      </c>
      <c r="C2" s="3" t="s">
        <v>110</v>
      </c>
      <c r="D2" s="3" t="s">
        <v>189</v>
      </c>
      <c r="E2" s="3" t="s">
        <v>191</v>
      </c>
      <c r="F2" s="3" t="s">
        <v>195</v>
      </c>
      <c r="G2" s="3" t="s">
        <v>207</v>
      </c>
      <c r="H2" s="3">
        <v>3</v>
      </c>
      <c r="I2" s="3">
        <v>8799</v>
      </c>
      <c r="J2" s="6">
        <v>1901.21</v>
      </c>
    </row>
    <row r="3" spans="1:10" x14ac:dyDescent="0.25">
      <c r="A3" s="3" t="s">
        <v>11</v>
      </c>
      <c r="B3" s="4">
        <v>45741</v>
      </c>
      <c r="C3" s="3" t="s">
        <v>111</v>
      </c>
      <c r="D3" s="3" t="s">
        <v>190</v>
      </c>
      <c r="E3" s="3" t="s">
        <v>192</v>
      </c>
      <c r="F3" s="3" t="s">
        <v>196</v>
      </c>
      <c r="G3" s="3" t="s">
        <v>208</v>
      </c>
      <c r="H3" s="3">
        <v>6</v>
      </c>
      <c r="I3" s="3">
        <v>23784</v>
      </c>
      <c r="J3" s="6">
        <v>4270.07</v>
      </c>
    </row>
    <row r="4" spans="1:10" x14ac:dyDescent="0.25">
      <c r="A4" s="3" t="s">
        <v>12</v>
      </c>
      <c r="B4" s="4">
        <v>45791</v>
      </c>
      <c r="C4" s="3" t="s">
        <v>112</v>
      </c>
      <c r="D4" s="3" t="s">
        <v>189</v>
      </c>
      <c r="E4" s="3" t="s">
        <v>193</v>
      </c>
      <c r="F4" s="3" t="s">
        <v>197</v>
      </c>
      <c r="G4" s="3" t="s">
        <v>208</v>
      </c>
      <c r="H4" s="3">
        <v>6</v>
      </c>
      <c r="I4" s="3">
        <v>13980</v>
      </c>
      <c r="J4" s="6">
        <v>2973.02</v>
      </c>
    </row>
    <row r="5" spans="1:10" x14ac:dyDescent="0.25">
      <c r="A5" s="3" t="s">
        <v>13</v>
      </c>
      <c r="B5" s="4">
        <v>45713</v>
      </c>
      <c r="C5" s="3" t="s">
        <v>113</v>
      </c>
      <c r="D5" s="3" t="s">
        <v>190</v>
      </c>
      <c r="E5" s="3" t="s">
        <v>192</v>
      </c>
      <c r="F5" s="3" t="s">
        <v>198</v>
      </c>
      <c r="G5" s="3" t="s">
        <v>209</v>
      </c>
      <c r="H5" s="3">
        <v>6</v>
      </c>
      <c r="I5" s="3">
        <v>6768</v>
      </c>
      <c r="J5" s="6">
        <v>895.8</v>
      </c>
    </row>
    <row r="6" spans="1:10" x14ac:dyDescent="0.25">
      <c r="A6" s="3" t="s">
        <v>14</v>
      </c>
      <c r="B6" s="4">
        <v>45748</v>
      </c>
      <c r="C6" s="3" t="s">
        <v>114</v>
      </c>
      <c r="D6" s="3" t="s">
        <v>190</v>
      </c>
      <c r="E6" s="3" t="s">
        <v>194</v>
      </c>
      <c r="F6" s="3" t="s">
        <v>198</v>
      </c>
      <c r="G6" s="3" t="s">
        <v>209</v>
      </c>
      <c r="H6" s="3">
        <v>1</v>
      </c>
      <c r="I6" s="3">
        <v>3822</v>
      </c>
      <c r="J6" s="6">
        <v>616.39</v>
      </c>
    </row>
    <row r="7" spans="1:10" x14ac:dyDescent="0.25">
      <c r="A7" s="3" t="s">
        <v>15</v>
      </c>
      <c r="B7" s="4">
        <v>45813</v>
      </c>
      <c r="C7" s="3" t="s">
        <v>115</v>
      </c>
      <c r="D7" s="3" t="s">
        <v>189</v>
      </c>
      <c r="E7" s="3" t="s">
        <v>191</v>
      </c>
      <c r="F7" s="3" t="s">
        <v>199</v>
      </c>
      <c r="G7" s="3" t="s">
        <v>209</v>
      </c>
      <c r="H7" s="3">
        <v>1</v>
      </c>
      <c r="I7" s="3">
        <v>2379</v>
      </c>
      <c r="J7" s="6">
        <v>608.99</v>
      </c>
    </row>
    <row r="8" spans="1:10" x14ac:dyDescent="0.25">
      <c r="A8" s="3" t="s">
        <v>16</v>
      </c>
      <c r="B8" s="4">
        <v>45695</v>
      </c>
      <c r="C8" s="3" t="s">
        <v>116</v>
      </c>
      <c r="D8" s="3" t="s">
        <v>189</v>
      </c>
      <c r="E8" s="3" t="s">
        <v>191</v>
      </c>
      <c r="F8" s="3" t="s">
        <v>200</v>
      </c>
      <c r="G8" s="3" t="s">
        <v>209</v>
      </c>
      <c r="H8" s="3">
        <v>7</v>
      </c>
      <c r="I8" s="3">
        <v>28595</v>
      </c>
      <c r="J8" s="6">
        <v>7421.11</v>
      </c>
    </row>
    <row r="9" spans="1:10" x14ac:dyDescent="0.25">
      <c r="A9" s="3" t="s">
        <v>17</v>
      </c>
      <c r="B9" s="4">
        <v>45695</v>
      </c>
      <c r="C9" s="3" t="s">
        <v>117</v>
      </c>
      <c r="D9" s="3" t="s">
        <v>190</v>
      </c>
      <c r="E9" s="3" t="s">
        <v>191</v>
      </c>
      <c r="F9" s="3" t="s">
        <v>199</v>
      </c>
      <c r="G9" s="3" t="s">
        <v>209</v>
      </c>
      <c r="H9" s="3">
        <v>2</v>
      </c>
      <c r="I9" s="3">
        <v>4972</v>
      </c>
      <c r="J9" s="6">
        <v>1164.1300000000001</v>
      </c>
    </row>
    <row r="10" spans="1:10" x14ac:dyDescent="0.25">
      <c r="A10" s="3" t="s">
        <v>18</v>
      </c>
      <c r="B10" s="4">
        <v>45825</v>
      </c>
      <c r="C10" s="3" t="s">
        <v>111</v>
      </c>
      <c r="D10" s="3" t="s">
        <v>190</v>
      </c>
      <c r="E10" s="3" t="s">
        <v>192</v>
      </c>
      <c r="F10" s="3" t="s">
        <v>201</v>
      </c>
      <c r="G10" s="3" t="s">
        <v>207</v>
      </c>
      <c r="H10" s="3">
        <v>7</v>
      </c>
      <c r="I10" s="3">
        <v>26264</v>
      </c>
      <c r="J10" s="6">
        <v>3718.22</v>
      </c>
    </row>
    <row r="11" spans="1:10" x14ac:dyDescent="0.25">
      <c r="A11" s="3" t="s">
        <v>19</v>
      </c>
      <c r="B11" s="4">
        <v>45740</v>
      </c>
      <c r="C11" s="3" t="s">
        <v>118</v>
      </c>
      <c r="D11" s="3" t="s">
        <v>189</v>
      </c>
      <c r="E11" s="3" t="s">
        <v>192</v>
      </c>
      <c r="F11" s="3" t="s">
        <v>202</v>
      </c>
      <c r="G11" s="3" t="s">
        <v>207</v>
      </c>
      <c r="H11" s="3">
        <v>4</v>
      </c>
      <c r="I11" s="3">
        <v>16496</v>
      </c>
      <c r="J11" s="6">
        <v>4713.74</v>
      </c>
    </row>
    <row r="12" spans="1:10" x14ac:dyDescent="0.25">
      <c r="A12" s="3" t="s">
        <v>20</v>
      </c>
      <c r="B12" s="4">
        <v>45722</v>
      </c>
      <c r="C12" s="3" t="s">
        <v>119</v>
      </c>
      <c r="D12" s="3" t="s">
        <v>189</v>
      </c>
      <c r="E12" s="3" t="s">
        <v>192</v>
      </c>
      <c r="F12" s="3" t="s">
        <v>203</v>
      </c>
      <c r="G12" s="3" t="s">
        <v>207</v>
      </c>
      <c r="H12" s="3">
        <v>6</v>
      </c>
      <c r="I12" s="3">
        <v>24696</v>
      </c>
      <c r="J12" s="6">
        <v>3144.95</v>
      </c>
    </row>
    <row r="13" spans="1:10" x14ac:dyDescent="0.25">
      <c r="A13" s="3" t="s">
        <v>21</v>
      </c>
      <c r="B13" s="4">
        <v>45803</v>
      </c>
      <c r="C13" s="3" t="s">
        <v>120</v>
      </c>
      <c r="D13" s="3" t="s">
        <v>190</v>
      </c>
      <c r="E13" s="3" t="s">
        <v>191</v>
      </c>
      <c r="F13" s="3" t="s">
        <v>199</v>
      </c>
      <c r="G13" s="3" t="s">
        <v>209</v>
      </c>
      <c r="H13" s="3">
        <v>6</v>
      </c>
      <c r="I13" s="3">
        <v>19272</v>
      </c>
      <c r="J13" s="6">
        <v>4266.51</v>
      </c>
    </row>
    <row r="14" spans="1:10" x14ac:dyDescent="0.25">
      <c r="A14" s="3" t="s">
        <v>22</v>
      </c>
      <c r="B14" s="4">
        <v>45727</v>
      </c>
      <c r="C14" s="3" t="s">
        <v>121</v>
      </c>
      <c r="D14" s="3" t="s">
        <v>190</v>
      </c>
      <c r="E14" s="3" t="s">
        <v>192</v>
      </c>
      <c r="F14" s="3" t="s">
        <v>196</v>
      </c>
      <c r="G14" s="3" t="s">
        <v>208</v>
      </c>
      <c r="H14" s="3">
        <v>4</v>
      </c>
      <c r="I14" s="3">
        <v>11072</v>
      </c>
      <c r="J14" s="6">
        <v>2006.63</v>
      </c>
    </row>
    <row r="15" spans="1:10" x14ac:dyDescent="0.25">
      <c r="A15" s="3" t="s">
        <v>23</v>
      </c>
      <c r="B15" s="4">
        <v>45753</v>
      </c>
      <c r="C15" s="3" t="s">
        <v>122</v>
      </c>
      <c r="D15" s="3" t="s">
        <v>190</v>
      </c>
      <c r="E15" s="3" t="s">
        <v>193</v>
      </c>
      <c r="F15" s="3" t="s">
        <v>204</v>
      </c>
      <c r="G15" s="3" t="s">
        <v>208</v>
      </c>
      <c r="H15" s="3">
        <v>5</v>
      </c>
      <c r="I15" s="3">
        <v>23985</v>
      </c>
      <c r="J15" s="6">
        <v>3775.83</v>
      </c>
    </row>
    <row r="16" spans="1:10" x14ac:dyDescent="0.25">
      <c r="A16" s="3" t="s">
        <v>24</v>
      </c>
      <c r="B16" s="4">
        <v>45706</v>
      </c>
      <c r="C16" s="3" t="s">
        <v>123</v>
      </c>
      <c r="D16" s="3" t="s">
        <v>189</v>
      </c>
      <c r="E16" s="3" t="s">
        <v>194</v>
      </c>
      <c r="F16" s="3" t="s">
        <v>200</v>
      </c>
      <c r="G16" s="3" t="s">
        <v>209</v>
      </c>
      <c r="H16" s="3">
        <v>6</v>
      </c>
      <c r="I16" s="3">
        <v>16710</v>
      </c>
      <c r="J16" s="6">
        <v>3206.73</v>
      </c>
    </row>
    <row r="17" spans="1:10" x14ac:dyDescent="0.25">
      <c r="A17" s="3" t="s">
        <v>25</v>
      </c>
      <c r="B17" s="4">
        <v>45736</v>
      </c>
      <c r="C17" s="3" t="s">
        <v>124</v>
      </c>
      <c r="D17" s="3" t="s">
        <v>189</v>
      </c>
      <c r="E17" s="3" t="s">
        <v>191</v>
      </c>
      <c r="F17" s="3" t="s">
        <v>195</v>
      </c>
      <c r="G17" s="3" t="s">
        <v>207</v>
      </c>
      <c r="H17" s="3">
        <v>9</v>
      </c>
      <c r="I17" s="3">
        <v>18639</v>
      </c>
      <c r="J17" s="6">
        <v>3957.03</v>
      </c>
    </row>
    <row r="18" spans="1:10" x14ac:dyDescent="0.25">
      <c r="A18" s="3" t="s">
        <v>26</v>
      </c>
      <c r="B18" s="4">
        <v>45764</v>
      </c>
      <c r="C18" s="3" t="s">
        <v>125</v>
      </c>
      <c r="D18" s="3" t="s">
        <v>190</v>
      </c>
      <c r="E18" s="3" t="s">
        <v>191</v>
      </c>
      <c r="F18" s="3" t="s">
        <v>200</v>
      </c>
      <c r="G18" s="3" t="s">
        <v>209</v>
      </c>
      <c r="H18" s="3">
        <v>10</v>
      </c>
      <c r="I18" s="3">
        <v>13920</v>
      </c>
      <c r="J18" s="6">
        <v>1985.03</v>
      </c>
    </row>
    <row r="19" spans="1:10" x14ac:dyDescent="0.25">
      <c r="A19" s="3" t="s">
        <v>27</v>
      </c>
      <c r="B19" s="4">
        <v>45676</v>
      </c>
      <c r="C19" s="3" t="s">
        <v>126</v>
      </c>
      <c r="D19" s="3" t="s">
        <v>189</v>
      </c>
      <c r="E19" s="3" t="s">
        <v>193</v>
      </c>
      <c r="F19" s="3" t="s">
        <v>205</v>
      </c>
      <c r="G19" s="3" t="s">
        <v>208</v>
      </c>
      <c r="H19" s="3">
        <v>4</v>
      </c>
      <c r="I19" s="3">
        <v>6056</v>
      </c>
      <c r="J19" s="6">
        <v>1154.18</v>
      </c>
    </row>
    <row r="20" spans="1:10" x14ac:dyDescent="0.25">
      <c r="A20" s="3" t="s">
        <v>28</v>
      </c>
      <c r="B20" s="4">
        <v>45824</v>
      </c>
      <c r="C20" s="3" t="s">
        <v>127</v>
      </c>
      <c r="D20" s="3" t="s">
        <v>190</v>
      </c>
      <c r="E20" s="3" t="s">
        <v>192</v>
      </c>
      <c r="F20" s="3" t="s">
        <v>195</v>
      </c>
      <c r="G20" s="3" t="s">
        <v>207</v>
      </c>
      <c r="H20" s="3">
        <v>5</v>
      </c>
      <c r="I20" s="3">
        <v>6820</v>
      </c>
      <c r="J20" s="6">
        <v>1495.81</v>
      </c>
    </row>
    <row r="21" spans="1:10" x14ac:dyDescent="0.25">
      <c r="A21" s="3" t="s">
        <v>29</v>
      </c>
      <c r="B21" s="4">
        <v>45836</v>
      </c>
      <c r="C21" s="3" t="s">
        <v>128</v>
      </c>
      <c r="D21" s="3" t="s">
        <v>189</v>
      </c>
      <c r="E21" s="3" t="s">
        <v>193</v>
      </c>
      <c r="F21" s="3" t="s">
        <v>201</v>
      </c>
      <c r="G21" s="3" t="s">
        <v>207</v>
      </c>
      <c r="H21" s="3">
        <v>3</v>
      </c>
      <c r="I21" s="3">
        <v>3612</v>
      </c>
      <c r="J21" s="6">
        <v>371.96</v>
      </c>
    </row>
    <row r="22" spans="1:10" x14ac:dyDescent="0.25">
      <c r="A22" s="3" t="s">
        <v>30</v>
      </c>
      <c r="B22" s="4">
        <v>45721</v>
      </c>
      <c r="C22" s="3" t="s">
        <v>129</v>
      </c>
      <c r="D22" s="3" t="s">
        <v>190</v>
      </c>
      <c r="E22" s="3" t="s">
        <v>191</v>
      </c>
      <c r="F22" s="3" t="s">
        <v>195</v>
      </c>
      <c r="G22" s="3" t="s">
        <v>207</v>
      </c>
      <c r="H22" s="3">
        <v>5</v>
      </c>
      <c r="I22" s="3">
        <v>21320</v>
      </c>
      <c r="J22" s="6">
        <v>3797.27</v>
      </c>
    </row>
    <row r="23" spans="1:10" x14ac:dyDescent="0.25">
      <c r="A23" s="3" t="s">
        <v>31</v>
      </c>
      <c r="B23" s="4">
        <v>45750</v>
      </c>
      <c r="C23" s="3" t="s">
        <v>130</v>
      </c>
      <c r="D23" s="3" t="s">
        <v>190</v>
      </c>
      <c r="E23" s="3" t="s">
        <v>193</v>
      </c>
      <c r="F23" s="3" t="s">
        <v>198</v>
      </c>
      <c r="G23" s="3" t="s">
        <v>209</v>
      </c>
      <c r="H23" s="3">
        <v>6</v>
      </c>
      <c r="I23" s="3">
        <v>8940</v>
      </c>
      <c r="J23" s="6">
        <v>1860.89</v>
      </c>
    </row>
    <row r="24" spans="1:10" x14ac:dyDescent="0.25">
      <c r="A24" s="3" t="s">
        <v>32</v>
      </c>
      <c r="B24" s="4">
        <v>45787</v>
      </c>
      <c r="C24" s="3" t="s">
        <v>131</v>
      </c>
      <c r="D24" s="3" t="s">
        <v>189</v>
      </c>
      <c r="E24" s="3" t="s">
        <v>191</v>
      </c>
      <c r="F24" s="3" t="s">
        <v>205</v>
      </c>
      <c r="G24" s="3" t="s">
        <v>208</v>
      </c>
      <c r="H24" s="3">
        <v>8</v>
      </c>
      <c r="I24" s="3">
        <v>10640</v>
      </c>
      <c r="J24" s="6">
        <v>2972.51</v>
      </c>
    </row>
    <row r="25" spans="1:10" x14ac:dyDescent="0.25">
      <c r="A25" s="3" t="s">
        <v>33</v>
      </c>
      <c r="B25" s="4">
        <v>45795</v>
      </c>
      <c r="C25" s="3" t="s">
        <v>132</v>
      </c>
      <c r="D25" s="3" t="s">
        <v>190</v>
      </c>
      <c r="E25" s="3" t="s">
        <v>192</v>
      </c>
      <c r="F25" s="3" t="s">
        <v>199</v>
      </c>
      <c r="G25" s="3" t="s">
        <v>209</v>
      </c>
      <c r="H25" s="3">
        <v>9</v>
      </c>
      <c r="I25" s="3">
        <v>25767</v>
      </c>
      <c r="J25" s="6">
        <v>4949.04</v>
      </c>
    </row>
    <row r="26" spans="1:10" x14ac:dyDescent="0.25">
      <c r="A26" s="3" t="s">
        <v>34</v>
      </c>
      <c r="B26" s="4">
        <v>45811</v>
      </c>
      <c r="C26" s="3" t="s">
        <v>133</v>
      </c>
      <c r="D26" s="3" t="s">
        <v>190</v>
      </c>
      <c r="E26" s="3" t="s">
        <v>193</v>
      </c>
      <c r="F26" s="3" t="s">
        <v>198</v>
      </c>
      <c r="G26" s="3" t="s">
        <v>209</v>
      </c>
      <c r="H26" s="3">
        <v>6</v>
      </c>
      <c r="I26" s="3">
        <v>29148</v>
      </c>
      <c r="J26" s="6">
        <v>5129.29</v>
      </c>
    </row>
    <row r="27" spans="1:10" x14ac:dyDescent="0.25">
      <c r="A27" s="3" t="s">
        <v>35</v>
      </c>
      <c r="B27" s="4">
        <v>45709</v>
      </c>
      <c r="C27" s="3" t="s">
        <v>134</v>
      </c>
      <c r="D27" s="3" t="s">
        <v>190</v>
      </c>
      <c r="E27" s="3" t="s">
        <v>193</v>
      </c>
      <c r="F27" s="3" t="s">
        <v>201</v>
      </c>
      <c r="G27" s="3" t="s">
        <v>207</v>
      </c>
      <c r="H27" s="3">
        <v>4</v>
      </c>
      <c r="I27" s="3">
        <v>13772</v>
      </c>
      <c r="J27" s="6">
        <v>2559.6799999999998</v>
      </c>
    </row>
    <row r="28" spans="1:10" x14ac:dyDescent="0.25">
      <c r="A28" s="3" t="s">
        <v>36</v>
      </c>
      <c r="B28" s="4">
        <v>45726</v>
      </c>
      <c r="C28" s="3" t="s">
        <v>135</v>
      </c>
      <c r="D28" s="3" t="s">
        <v>189</v>
      </c>
      <c r="E28" s="3" t="s">
        <v>192</v>
      </c>
      <c r="F28" s="3" t="s">
        <v>206</v>
      </c>
      <c r="G28" s="3" t="s">
        <v>209</v>
      </c>
      <c r="H28" s="3">
        <v>3</v>
      </c>
      <c r="I28" s="3">
        <v>9987</v>
      </c>
      <c r="J28" s="6">
        <v>1525.11</v>
      </c>
    </row>
    <row r="29" spans="1:10" x14ac:dyDescent="0.25">
      <c r="A29" s="3" t="s">
        <v>37</v>
      </c>
      <c r="B29" s="4">
        <v>45780</v>
      </c>
      <c r="C29" s="3" t="s">
        <v>136</v>
      </c>
      <c r="D29" s="3" t="s">
        <v>190</v>
      </c>
      <c r="E29" s="3" t="s">
        <v>192</v>
      </c>
      <c r="F29" s="3" t="s">
        <v>201</v>
      </c>
      <c r="G29" s="3" t="s">
        <v>207</v>
      </c>
      <c r="H29" s="3">
        <v>5</v>
      </c>
      <c r="I29" s="3">
        <v>18340</v>
      </c>
      <c r="J29" s="6">
        <v>3487.31</v>
      </c>
    </row>
    <row r="30" spans="1:10" x14ac:dyDescent="0.25">
      <c r="A30" s="3" t="s">
        <v>38</v>
      </c>
      <c r="B30" s="4">
        <v>45743</v>
      </c>
      <c r="C30" s="3" t="s">
        <v>137</v>
      </c>
      <c r="D30" s="3" t="s">
        <v>190</v>
      </c>
      <c r="E30" s="3" t="s">
        <v>193</v>
      </c>
      <c r="F30" s="3" t="s">
        <v>203</v>
      </c>
      <c r="G30" s="3" t="s">
        <v>207</v>
      </c>
      <c r="H30" s="3">
        <v>2</v>
      </c>
      <c r="I30" s="3">
        <v>3652</v>
      </c>
      <c r="J30" s="6">
        <v>727.38</v>
      </c>
    </row>
    <row r="31" spans="1:10" x14ac:dyDescent="0.25">
      <c r="A31" s="3" t="s">
        <v>39</v>
      </c>
      <c r="B31" s="4">
        <v>45695</v>
      </c>
      <c r="C31" s="3" t="s">
        <v>138</v>
      </c>
      <c r="D31" s="3" t="s">
        <v>190</v>
      </c>
      <c r="E31" s="3" t="s">
        <v>194</v>
      </c>
      <c r="F31" s="3" t="s">
        <v>199</v>
      </c>
      <c r="G31" s="3" t="s">
        <v>209</v>
      </c>
      <c r="H31" s="3">
        <v>10</v>
      </c>
      <c r="I31" s="3">
        <v>39890</v>
      </c>
      <c r="J31" s="6">
        <v>6746.64</v>
      </c>
    </row>
    <row r="32" spans="1:10" x14ac:dyDescent="0.25">
      <c r="A32" s="3" t="s">
        <v>40</v>
      </c>
      <c r="B32" s="4">
        <v>45771</v>
      </c>
      <c r="C32" s="3" t="s">
        <v>126</v>
      </c>
      <c r="D32" s="3" t="s">
        <v>189</v>
      </c>
      <c r="E32" s="3" t="s">
        <v>192</v>
      </c>
      <c r="F32" s="3" t="s">
        <v>198</v>
      </c>
      <c r="G32" s="3" t="s">
        <v>209</v>
      </c>
      <c r="H32" s="3">
        <v>8</v>
      </c>
      <c r="I32" s="3">
        <v>11088</v>
      </c>
      <c r="J32" s="6">
        <v>1604.4</v>
      </c>
    </row>
    <row r="33" spans="1:10" x14ac:dyDescent="0.25">
      <c r="A33" s="3" t="s">
        <v>41</v>
      </c>
      <c r="B33" s="4">
        <v>45710</v>
      </c>
      <c r="C33" s="3" t="s">
        <v>139</v>
      </c>
      <c r="D33" s="3" t="s">
        <v>190</v>
      </c>
      <c r="E33" s="3" t="s">
        <v>192</v>
      </c>
      <c r="F33" s="3" t="s">
        <v>198</v>
      </c>
      <c r="G33" s="3" t="s">
        <v>209</v>
      </c>
      <c r="H33" s="3">
        <v>5</v>
      </c>
      <c r="I33" s="3">
        <v>10380</v>
      </c>
      <c r="J33" s="6">
        <v>1763.48</v>
      </c>
    </row>
    <row r="34" spans="1:10" x14ac:dyDescent="0.25">
      <c r="A34" s="3" t="s">
        <v>42</v>
      </c>
      <c r="B34" s="4">
        <v>45807</v>
      </c>
      <c r="C34" s="3" t="s">
        <v>130</v>
      </c>
      <c r="D34" s="3" t="s">
        <v>190</v>
      </c>
      <c r="E34" s="3" t="s">
        <v>192</v>
      </c>
      <c r="F34" s="3" t="s">
        <v>197</v>
      </c>
      <c r="G34" s="3" t="s">
        <v>208</v>
      </c>
      <c r="H34" s="3">
        <v>1</v>
      </c>
      <c r="I34" s="3">
        <v>3832</v>
      </c>
      <c r="J34" s="6">
        <v>695.69</v>
      </c>
    </row>
    <row r="35" spans="1:10" x14ac:dyDescent="0.25">
      <c r="A35" s="3" t="s">
        <v>43</v>
      </c>
      <c r="B35" s="4">
        <v>45744</v>
      </c>
      <c r="C35" s="3" t="s">
        <v>140</v>
      </c>
      <c r="D35" s="3" t="s">
        <v>190</v>
      </c>
      <c r="E35" s="3" t="s">
        <v>194</v>
      </c>
      <c r="F35" s="3" t="s">
        <v>197</v>
      </c>
      <c r="G35" s="3" t="s">
        <v>208</v>
      </c>
      <c r="H35" s="3">
        <v>5</v>
      </c>
      <c r="I35" s="3">
        <v>23210</v>
      </c>
      <c r="J35" s="6">
        <v>5300.84</v>
      </c>
    </row>
    <row r="36" spans="1:10" x14ac:dyDescent="0.25">
      <c r="A36" s="3" t="s">
        <v>44</v>
      </c>
      <c r="B36" s="4">
        <v>45726</v>
      </c>
      <c r="C36" s="3" t="s">
        <v>141</v>
      </c>
      <c r="D36" s="3" t="s">
        <v>190</v>
      </c>
      <c r="E36" s="3" t="s">
        <v>193</v>
      </c>
      <c r="F36" s="3" t="s">
        <v>198</v>
      </c>
      <c r="G36" s="3" t="s">
        <v>209</v>
      </c>
      <c r="H36" s="3">
        <v>7</v>
      </c>
      <c r="I36" s="3">
        <v>19663</v>
      </c>
      <c r="J36" s="6">
        <v>3717.34</v>
      </c>
    </row>
    <row r="37" spans="1:10" x14ac:dyDescent="0.25">
      <c r="A37" s="3" t="s">
        <v>45</v>
      </c>
      <c r="B37" s="4">
        <v>45816</v>
      </c>
      <c r="C37" s="3" t="s">
        <v>125</v>
      </c>
      <c r="D37" s="3" t="s">
        <v>190</v>
      </c>
      <c r="E37" s="3" t="s">
        <v>194</v>
      </c>
      <c r="F37" s="3" t="s">
        <v>195</v>
      </c>
      <c r="G37" s="3" t="s">
        <v>207</v>
      </c>
      <c r="H37" s="3">
        <v>1</v>
      </c>
      <c r="I37" s="3">
        <v>3514</v>
      </c>
      <c r="J37" s="6">
        <v>660.7</v>
      </c>
    </row>
    <row r="38" spans="1:10" x14ac:dyDescent="0.25">
      <c r="A38" s="3" t="s">
        <v>46</v>
      </c>
      <c r="B38" s="4">
        <v>45703</v>
      </c>
      <c r="C38" s="3" t="s">
        <v>142</v>
      </c>
      <c r="D38" s="3" t="s">
        <v>190</v>
      </c>
      <c r="E38" s="3" t="s">
        <v>193</v>
      </c>
      <c r="F38" s="3" t="s">
        <v>204</v>
      </c>
      <c r="G38" s="3" t="s">
        <v>208</v>
      </c>
      <c r="H38" s="3">
        <v>9</v>
      </c>
      <c r="I38" s="3">
        <v>23022</v>
      </c>
      <c r="J38" s="6">
        <v>2738.26</v>
      </c>
    </row>
    <row r="39" spans="1:10" x14ac:dyDescent="0.25">
      <c r="A39" s="3" t="s">
        <v>47</v>
      </c>
      <c r="B39" s="4">
        <v>45683</v>
      </c>
      <c r="C39" s="3" t="s">
        <v>143</v>
      </c>
      <c r="D39" s="3" t="s">
        <v>189</v>
      </c>
      <c r="E39" s="3" t="s">
        <v>192</v>
      </c>
      <c r="F39" s="3" t="s">
        <v>201</v>
      </c>
      <c r="G39" s="3" t="s">
        <v>207</v>
      </c>
      <c r="H39" s="3">
        <v>5</v>
      </c>
      <c r="I39" s="3">
        <v>10075</v>
      </c>
      <c r="J39" s="6">
        <v>1979.79</v>
      </c>
    </row>
    <row r="40" spans="1:10" x14ac:dyDescent="0.25">
      <c r="A40" s="3" t="s">
        <v>48</v>
      </c>
      <c r="B40" s="4">
        <v>45760</v>
      </c>
      <c r="C40" s="3" t="s">
        <v>144</v>
      </c>
      <c r="D40" s="3" t="s">
        <v>190</v>
      </c>
      <c r="E40" s="3" t="s">
        <v>193</v>
      </c>
      <c r="F40" s="3" t="s">
        <v>204</v>
      </c>
      <c r="G40" s="3" t="s">
        <v>208</v>
      </c>
      <c r="H40" s="3">
        <v>10</v>
      </c>
      <c r="I40" s="3">
        <v>43950</v>
      </c>
      <c r="J40" s="6">
        <v>4952.1099999999997</v>
      </c>
    </row>
    <row r="41" spans="1:10" x14ac:dyDescent="0.25">
      <c r="A41" s="3" t="s">
        <v>49</v>
      </c>
      <c r="B41" s="4">
        <v>45692</v>
      </c>
      <c r="C41" s="3" t="s">
        <v>145</v>
      </c>
      <c r="D41" s="3" t="s">
        <v>189</v>
      </c>
      <c r="E41" s="3" t="s">
        <v>193</v>
      </c>
      <c r="F41" s="3" t="s">
        <v>201</v>
      </c>
      <c r="G41" s="3" t="s">
        <v>207</v>
      </c>
      <c r="H41" s="3">
        <v>6</v>
      </c>
      <c r="I41" s="3">
        <v>14472</v>
      </c>
      <c r="J41" s="6">
        <v>2222.96</v>
      </c>
    </row>
    <row r="42" spans="1:10" x14ac:dyDescent="0.25">
      <c r="A42" s="3" t="s">
        <v>50</v>
      </c>
      <c r="B42" s="4">
        <v>45802</v>
      </c>
      <c r="C42" s="3" t="s">
        <v>146</v>
      </c>
      <c r="D42" s="3" t="s">
        <v>190</v>
      </c>
      <c r="E42" s="3" t="s">
        <v>194</v>
      </c>
      <c r="F42" s="3" t="s">
        <v>202</v>
      </c>
      <c r="G42" s="3" t="s">
        <v>207</v>
      </c>
      <c r="H42" s="3">
        <v>1</v>
      </c>
      <c r="I42" s="3">
        <v>4667</v>
      </c>
      <c r="J42" s="6">
        <v>987.75</v>
      </c>
    </row>
    <row r="43" spans="1:10" x14ac:dyDescent="0.25">
      <c r="A43" s="3" t="s">
        <v>51</v>
      </c>
      <c r="B43" s="4">
        <v>45673</v>
      </c>
      <c r="C43" s="3" t="s">
        <v>147</v>
      </c>
      <c r="D43" s="3" t="s">
        <v>190</v>
      </c>
      <c r="E43" s="3" t="s">
        <v>192</v>
      </c>
      <c r="F43" s="3" t="s">
        <v>202</v>
      </c>
      <c r="G43" s="3" t="s">
        <v>207</v>
      </c>
      <c r="H43" s="3">
        <v>5</v>
      </c>
      <c r="I43" s="3">
        <v>17100</v>
      </c>
      <c r="J43" s="6">
        <v>2843.01</v>
      </c>
    </row>
    <row r="44" spans="1:10" x14ac:dyDescent="0.25">
      <c r="A44" s="3" t="s">
        <v>52</v>
      </c>
      <c r="B44" s="4">
        <v>45723</v>
      </c>
      <c r="C44" s="3" t="s">
        <v>137</v>
      </c>
      <c r="D44" s="3" t="s">
        <v>190</v>
      </c>
      <c r="E44" s="3" t="s">
        <v>193</v>
      </c>
      <c r="F44" s="3" t="s">
        <v>202</v>
      </c>
      <c r="G44" s="3" t="s">
        <v>207</v>
      </c>
      <c r="H44" s="3">
        <v>8</v>
      </c>
      <c r="I44" s="3">
        <v>24768</v>
      </c>
      <c r="J44" s="6">
        <v>3803.65</v>
      </c>
    </row>
    <row r="45" spans="1:10" x14ac:dyDescent="0.25">
      <c r="A45" s="3" t="s">
        <v>53</v>
      </c>
      <c r="B45" s="4">
        <v>45691</v>
      </c>
      <c r="C45" s="3" t="s">
        <v>148</v>
      </c>
      <c r="D45" s="3" t="s">
        <v>190</v>
      </c>
      <c r="E45" s="3" t="s">
        <v>192</v>
      </c>
      <c r="F45" s="3" t="s">
        <v>199</v>
      </c>
      <c r="G45" s="3" t="s">
        <v>209</v>
      </c>
      <c r="H45" s="3">
        <v>9</v>
      </c>
      <c r="I45" s="3">
        <v>36009</v>
      </c>
      <c r="J45" s="6">
        <v>4154.8599999999997</v>
      </c>
    </row>
    <row r="46" spans="1:10" x14ac:dyDescent="0.25">
      <c r="A46" s="3" t="s">
        <v>54</v>
      </c>
      <c r="B46" s="4">
        <v>45745</v>
      </c>
      <c r="C46" s="3" t="s">
        <v>149</v>
      </c>
      <c r="D46" s="3" t="s">
        <v>189</v>
      </c>
      <c r="E46" s="3" t="s">
        <v>192</v>
      </c>
      <c r="F46" s="3" t="s">
        <v>199</v>
      </c>
      <c r="G46" s="3" t="s">
        <v>209</v>
      </c>
      <c r="H46" s="3">
        <v>4</v>
      </c>
      <c r="I46" s="3">
        <v>6940</v>
      </c>
      <c r="J46" s="6">
        <v>870.87</v>
      </c>
    </row>
    <row r="47" spans="1:10" x14ac:dyDescent="0.25">
      <c r="A47" s="3" t="s">
        <v>55</v>
      </c>
      <c r="B47" s="4">
        <v>45711</v>
      </c>
      <c r="C47" s="3" t="s">
        <v>150</v>
      </c>
      <c r="D47" s="3" t="s">
        <v>189</v>
      </c>
      <c r="E47" s="3" t="s">
        <v>192</v>
      </c>
      <c r="F47" s="3" t="s">
        <v>206</v>
      </c>
      <c r="G47" s="3" t="s">
        <v>209</v>
      </c>
      <c r="H47" s="3">
        <v>10</v>
      </c>
      <c r="I47" s="3">
        <v>28230</v>
      </c>
      <c r="J47" s="6">
        <v>4206.4799999999996</v>
      </c>
    </row>
    <row r="48" spans="1:10" x14ac:dyDescent="0.25">
      <c r="A48" s="3" t="s">
        <v>56</v>
      </c>
      <c r="B48" s="4">
        <v>45835</v>
      </c>
      <c r="C48" s="3" t="s">
        <v>151</v>
      </c>
      <c r="D48" s="3" t="s">
        <v>189</v>
      </c>
      <c r="E48" s="3" t="s">
        <v>193</v>
      </c>
      <c r="F48" s="3" t="s">
        <v>205</v>
      </c>
      <c r="G48" s="3" t="s">
        <v>208</v>
      </c>
      <c r="H48" s="3">
        <v>9</v>
      </c>
      <c r="I48" s="3">
        <v>15489</v>
      </c>
      <c r="J48" s="6">
        <v>3771.03</v>
      </c>
    </row>
    <row r="49" spans="1:10" x14ac:dyDescent="0.25">
      <c r="A49" s="3" t="s">
        <v>57</v>
      </c>
      <c r="B49" s="4">
        <v>45787</v>
      </c>
      <c r="C49" s="3" t="s">
        <v>152</v>
      </c>
      <c r="D49" s="3" t="s">
        <v>189</v>
      </c>
      <c r="E49" s="3" t="s">
        <v>192</v>
      </c>
      <c r="F49" s="3" t="s">
        <v>203</v>
      </c>
      <c r="G49" s="3" t="s">
        <v>207</v>
      </c>
      <c r="H49" s="3">
        <v>9</v>
      </c>
      <c r="I49" s="3">
        <v>32832</v>
      </c>
      <c r="J49" s="6">
        <v>7821.43</v>
      </c>
    </row>
    <row r="50" spans="1:10" x14ac:dyDescent="0.25">
      <c r="A50" s="3" t="s">
        <v>58</v>
      </c>
      <c r="B50" s="4">
        <v>45697</v>
      </c>
      <c r="C50" s="3" t="s">
        <v>143</v>
      </c>
      <c r="D50" s="3" t="s">
        <v>189</v>
      </c>
      <c r="E50" s="3" t="s">
        <v>193</v>
      </c>
      <c r="F50" s="3" t="s">
        <v>199</v>
      </c>
      <c r="G50" s="3" t="s">
        <v>209</v>
      </c>
      <c r="H50" s="3">
        <v>4</v>
      </c>
      <c r="I50" s="3">
        <v>12452</v>
      </c>
      <c r="J50" s="6">
        <v>2600.04</v>
      </c>
    </row>
    <row r="51" spans="1:10" x14ac:dyDescent="0.25">
      <c r="A51" s="3" t="s">
        <v>59</v>
      </c>
      <c r="B51" s="4">
        <v>45697</v>
      </c>
      <c r="C51" s="3" t="s">
        <v>138</v>
      </c>
      <c r="D51" s="3" t="s">
        <v>190</v>
      </c>
      <c r="E51" s="3" t="s">
        <v>194</v>
      </c>
      <c r="F51" s="3" t="s">
        <v>198</v>
      </c>
      <c r="G51" s="3" t="s">
        <v>209</v>
      </c>
      <c r="H51" s="3">
        <v>2</v>
      </c>
      <c r="I51" s="3">
        <v>8644</v>
      </c>
      <c r="J51" s="6">
        <v>2110.2399999999998</v>
      </c>
    </row>
    <row r="52" spans="1:10" x14ac:dyDescent="0.25">
      <c r="A52" s="3" t="s">
        <v>60</v>
      </c>
      <c r="B52" s="4">
        <v>45744</v>
      </c>
      <c r="C52" s="3" t="s">
        <v>153</v>
      </c>
      <c r="D52" s="3" t="s">
        <v>190</v>
      </c>
      <c r="E52" s="3" t="s">
        <v>192</v>
      </c>
      <c r="F52" s="3" t="s">
        <v>201</v>
      </c>
      <c r="G52" s="3" t="s">
        <v>207</v>
      </c>
      <c r="H52" s="3">
        <v>3</v>
      </c>
      <c r="I52" s="3">
        <v>3183</v>
      </c>
      <c r="J52" s="6">
        <v>859.47</v>
      </c>
    </row>
    <row r="53" spans="1:10" x14ac:dyDescent="0.25">
      <c r="A53" s="3" t="s">
        <v>61</v>
      </c>
      <c r="B53" s="4">
        <v>45753</v>
      </c>
      <c r="C53" s="3" t="s">
        <v>154</v>
      </c>
      <c r="D53" s="3" t="s">
        <v>190</v>
      </c>
      <c r="E53" s="3" t="s">
        <v>192</v>
      </c>
      <c r="F53" s="3" t="s">
        <v>195</v>
      </c>
      <c r="G53" s="3" t="s">
        <v>207</v>
      </c>
      <c r="H53" s="3">
        <v>1</v>
      </c>
      <c r="I53" s="3">
        <v>4624</v>
      </c>
      <c r="J53" s="6">
        <v>478.1</v>
      </c>
    </row>
    <row r="54" spans="1:10" x14ac:dyDescent="0.25">
      <c r="A54" s="3" t="s">
        <v>62</v>
      </c>
      <c r="B54" s="4">
        <v>45691</v>
      </c>
      <c r="C54" s="3" t="s">
        <v>155</v>
      </c>
      <c r="D54" s="3" t="s">
        <v>190</v>
      </c>
      <c r="E54" s="3" t="s">
        <v>192</v>
      </c>
      <c r="F54" s="3" t="s">
        <v>201</v>
      </c>
      <c r="G54" s="3" t="s">
        <v>207</v>
      </c>
      <c r="H54" s="3">
        <v>4</v>
      </c>
      <c r="I54" s="3">
        <v>17936</v>
      </c>
      <c r="J54" s="6">
        <v>4685.53</v>
      </c>
    </row>
    <row r="55" spans="1:10" x14ac:dyDescent="0.25">
      <c r="A55" s="3" t="s">
        <v>63</v>
      </c>
      <c r="B55" s="4">
        <v>45724</v>
      </c>
      <c r="C55" s="3" t="s">
        <v>137</v>
      </c>
      <c r="D55" s="3" t="s">
        <v>190</v>
      </c>
      <c r="E55" s="3" t="s">
        <v>192</v>
      </c>
      <c r="F55" s="3" t="s">
        <v>195</v>
      </c>
      <c r="G55" s="3" t="s">
        <v>207</v>
      </c>
      <c r="H55" s="3">
        <v>3</v>
      </c>
      <c r="I55" s="3">
        <v>5523</v>
      </c>
      <c r="J55" s="6">
        <v>560.49</v>
      </c>
    </row>
    <row r="56" spans="1:10" x14ac:dyDescent="0.25">
      <c r="A56" s="3" t="s">
        <v>64</v>
      </c>
      <c r="B56" s="4">
        <v>45712</v>
      </c>
      <c r="C56" s="3" t="s">
        <v>156</v>
      </c>
      <c r="D56" s="3" t="s">
        <v>190</v>
      </c>
      <c r="E56" s="3" t="s">
        <v>193</v>
      </c>
      <c r="F56" s="3" t="s">
        <v>203</v>
      </c>
      <c r="G56" s="3" t="s">
        <v>207</v>
      </c>
      <c r="H56" s="3">
        <v>4</v>
      </c>
      <c r="I56" s="3">
        <v>7788</v>
      </c>
      <c r="J56" s="6">
        <v>1500.63</v>
      </c>
    </row>
    <row r="57" spans="1:10" x14ac:dyDescent="0.25">
      <c r="A57" s="3" t="s">
        <v>65</v>
      </c>
      <c r="B57" s="4">
        <v>45717</v>
      </c>
      <c r="C57" s="3" t="s">
        <v>157</v>
      </c>
      <c r="D57" s="3" t="s">
        <v>190</v>
      </c>
      <c r="E57" s="3" t="s">
        <v>194</v>
      </c>
      <c r="F57" s="3" t="s">
        <v>195</v>
      </c>
      <c r="G57" s="3" t="s">
        <v>207</v>
      </c>
      <c r="H57" s="3">
        <v>1</v>
      </c>
      <c r="I57" s="3">
        <v>4305</v>
      </c>
      <c r="J57" s="6">
        <v>979.13</v>
      </c>
    </row>
    <row r="58" spans="1:10" x14ac:dyDescent="0.25">
      <c r="A58" s="3" t="s">
        <v>66</v>
      </c>
      <c r="B58" s="4">
        <v>45827</v>
      </c>
      <c r="C58" s="3" t="s">
        <v>158</v>
      </c>
      <c r="D58" s="3" t="s">
        <v>190</v>
      </c>
      <c r="E58" s="3" t="s">
        <v>194</v>
      </c>
      <c r="F58" s="3" t="s">
        <v>202</v>
      </c>
      <c r="G58" s="3" t="s">
        <v>207</v>
      </c>
      <c r="H58" s="3">
        <v>5</v>
      </c>
      <c r="I58" s="3">
        <v>21460</v>
      </c>
      <c r="J58" s="6">
        <v>3553.31</v>
      </c>
    </row>
    <row r="59" spans="1:10" x14ac:dyDescent="0.25">
      <c r="A59" s="3" t="s">
        <v>67</v>
      </c>
      <c r="B59" s="4">
        <v>45786</v>
      </c>
      <c r="C59" s="3" t="s">
        <v>159</v>
      </c>
      <c r="D59" s="3" t="s">
        <v>189</v>
      </c>
      <c r="E59" s="3" t="s">
        <v>194</v>
      </c>
      <c r="F59" s="3" t="s">
        <v>198</v>
      </c>
      <c r="G59" s="3" t="s">
        <v>209</v>
      </c>
      <c r="H59" s="3">
        <v>5</v>
      </c>
      <c r="I59" s="3">
        <v>24705</v>
      </c>
      <c r="J59" s="6">
        <v>6431.99</v>
      </c>
    </row>
    <row r="60" spans="1:10" x14ac:dyDescent="0.25">
      <c r="A60" s="3" t="s">
        <v>68</v>
      </c>
      <c r="B60" s="4">
        <v>45690</v>
      </c>
      <c r="C60" s="3" t="s">
        <v>160</v>
      </c>
      <c r="D60" s="3" t="s">
        <v>190</v>
      </c>
      <c r="E60" s="3" t="s">
        <v>192</v>
      </c>
      <c r="F60" s="3" t="s">
        <v>200</v>
      </c>
      <c r="G60" s="3" t="s">
        <v>209</v>
      </c>
      <c r="H60" s="3">
        <v>8</v>
      </c>
      <c r="I60" s="3">
        <v>9272</v>
      </c>
      <c r="J60" s="6">
        <v>2067.36</v>
      </c>
    </row>
    <row r="61" spans="1:10" x14ac:dyDescent="0.25">
      <c r="A61" s="3" t="s">
        <v>69</v>
      </c>
      <c r="B61" s="4">
        <v>45804</v>
      </c>
      <c r="C61" s="3" t="s">
        <v>130</v>
      </c>
      <c r="D61" s="3" t="s">
        <v>190</v>
      </c>
      <c r="E61" s="3" t="s">
        <v>192</v>
      </c>
      <c r="F61" s="3" t="s">
        <v>198</v>
      </c>
      <c r="G61" s="3" t="s">
        <v>209</v>
      </c>
      <c r="H61" s="3">
        <v>2</v>
      </c>
      <c r="I61" s="3">
        <v>3776</v>
      </c>
      <c r="J61" s="6">
        <v>562.44000000000005</v>
      </c>
    </row>
    <row r="62" spans="1:10" x14ac:dyDescent="0.25">
      <c r="A62" s="3" t="s">
        <v>70</v>
      </c>
      <c r="B62" s="4">
        <v>45801</v>
      </c>
      <c r="C62" s="3" t="s">
        <v>161</v>
      </c>
      <c r="D62" s="3" t="s">
        <v>190</v>
      </c>
      <c r="E62" s="3" t="s">
        <v>191</v>
      </c>
      <c r="F62" s="3" t="s">
        <v>206</v>
      </c>
      <c r="G62" s="3" t="s">
        <v>209</v>
      </c>
      <c r="H62" s="3">
        <v>6</v>
      </c>
      <c r="I62" s="3">
        <v>21204</v>
      </c>
      <c r="J62" s="6">
        <v>2541.6999999999998</v>
      </c>
    </row>
    <row r="63" spans="1:10" x14ac:dyDescent="0.25">
      <c r="A63" s="3" t="s">
        <v>71</v>
      </c>
      <c r="B63" s="4">
        <v>45827</v>
      </c>
      <c r="C63" s="3" t="s">
        <v>162</v>
      </c>
      <c r="D63" s="3" t="s">
        <v>190</v>
      </c>
      <c r="E63" s="3" t="s">
        <v>192</v>
      </c>
      <c r="F63" s="3" t="s">
        <v>196</v>
      </c>
      <c r="G63" s="3" t="s">
        <v>208</v>
      </c>
      <c r="H63" s="3">
        <v>8</v>
      </c>
      <c r="I63" s="3">
        <v>10096</v>
      </c>
      <c r="J63" s="6">
        <v>2729.67</v>
      </c>
    </row>
    <row r="64" spans="1:10" x14ac:dyDescent="0.25">
      <c r="A64" s="3" t="s">
        <v>72</v>
      </c>
      <c r="B64" s="4">
        <v>45678</v>
      </c>
      <c r="C64" s="3" t="s">
        <v>163</v>
      </c>
      <c r="D64" s="3" t="s">
        <v>189</v>
      </c>
      <c r="E64" s="3" t="s">
        <v>193</v>
      </c>
      <c r="F64" s="3" t="s">
        <v>205</v>
      </c>
      <c r="G64" s="3" t="s">
        <v>208</v>
      </c>
      <c r="H64" s="3">
        <v>10</v>
      </c>
      <c r="I64" s="3">
        <v>30260</v>
      </c>
      <c r="J64" s="6">
        <v>8318.9500000000007</v>
      </c>
    </row>
    <row r="65" spans="1:10" x14ac:dyDescent="0.25">
      <c r="A65" s="3" t="s">
        <v>73</v>
      </c>
      <c r="B65" s="4">
        <v>45798</v>
      </c>
      <c r="C65" s="3" t="s">
        <v>164</v>
      </c>
      <c r="D65" s="3" t="s">
        <v>190</v>
      </c>
      <c r="E65" s="3" t="s">
        <v>192</v>
      </c>
      <c r="F65" s="3" t="s">
        <v>197</v>
      </c>
      <c r="G65" s="3" t="s">
        <v>208</v>
      </c>
      <c r="H65" s="3">
        <v>10</v>
      </c>
      <c r="I65" s="3">
        <v>37850</v>
      </c>
      <c r="J65" s="6">
        <v>4237.53</v>
      </c>
    </row>
    <row r="66" spans="1:10" x14ac:dyDescent="0.25">
      <c r="A66" s="3" t="s">
        <v>74</v>
      </c>
      <c r="B66" s="4">
        <v>45833</v>
      </c>
      <c r="C66" s="3" t="s">
        <v>135</v>
      </c>
      <c r="D66" s="3" t="s">
        <v>189</v>
      </c>
      <c r="E66" s="3" t="s">
        <v>194</v>
      </c>
      <c r="F66" s="3" t="s">
        <v>206</v>
      </c>
      <c r="G66" s="3" t="s">
        <v>209</v>
      </c>
      <c r="H66" s="3">
        <v>2</v>
      </c>
      <c r="I66" s="3">
        <v>9274</v>
      </c>
      <c r="J66" s="6">
        <v>1814.92</v>
      </c>
    </row>
    <row r="67" spans="1:10" x14ac:dyDescent="0.25">
      <c r="A67" s="3" t="s">
        <v>75</v>
      </c>
      <c r="B67" s="4">
        <v>45681</v>
      </c>
      <c r="C67" s="3" t="s">
        <v>165</v>
      </c>
      <c r="D67" s="3" t="s">
        <v>190</v>
      </c>
      <c r="E67" s="3" t="s">
        <v>192</v>
      </c>
      <c r="F67" s="3" t="s">
        <v>202</v>
      </c>
      <c r="G67" s="3" t="s">
        <v>207</v>
      </c>
      <c r="H67" s="3">
        <v>1</v>
      </c>
      <c r="I67" s="3">
        <v>1294</v>
      </c>
      <c r="J67" s="6">
        <v>162.63</v>
      </c>
    </row>
    <row r="68" spans="1:10" x14ac:dyDescent="0.25">
      <c r="A68" s="3" t="s">
        <v>76</v>
      </c>
      <c r="B68" s="4">
        <v>45808</v>
      </c>
      <c r="C68" s="3" t="s">
        <v>166</v>
      </c>
      <c r="D68" s="3" t="s">
        <v>190</v>
      </c>
      <c r="E68" s="3" t="s">
        <v>193</v>
      </c>
      <c r="F68" s="3" t="s">
        <v>199</v>
      </c>
      <c r="G68" s="3" t="s">
        <v>209</v>
      </c>
      <c r="H68" s="3">
        <v>1</v>
      </c>
      <c r="I68" s="3">
        <v>3595</v>
      </c>
      <c r="J68" s="6">
        <v>764.99</v>
      </c>
    </row>
    <row r="69" spans="1:10" x14ac:dyDescent="0.25">
      <c r="A69" s="3" t="s">
        <v>77</v>
      </c>
      <c r="B69" s="4">
        <v>45825</v>
      </c>
      <c r="C69" s="3" t="s">
        <v>126</v>
      </c>
      <c r="D69" s="3" t="s">
        <v>189</v>
      </c>
      <c r="E69" s="3" t="s">
        <v>193</v>
      </c>
      <c r="F69" s="3" t="s">
        <v>199</v>
      </c>
      <c r="G69" s="3" t="s">
        <v>209</v>
      </c>
      <c r="H69" s="3">
        <v>4</v>
      </c>
      <c r="I69" s="3">
        <v>4868</v>
      </c>
      <c r="J69" s="6">
        <v>700.69</v>
      </c>
    </row>
    <row r="70" spans="1:10" x14ac:dyDescent="0.25">
      <c r="A70" s="3" t="s">
        <v>78</v>
      </c>
      <c r="B70" s="4">
        <v>45680</v>
      </c>
      <c r="C70" s="3" t="s">
        <v>167</v>
      </c>
      <c r="D70" s="3" t="s">
        <v>190</v>
      </c>
      <c r="E70" s="3" t="s">
        <v>193</v>
      </c>
      <c r="F70" s="3" t="s">
        <v>201</v>
      </c>
      <c r="G70" s="3" t="s">
        <v>207</v>
      </c>
      <c r="H70" s="3">
        <v>10</v>
      </c>
      <c r="I70" s="3">
        <v>36730</v>
      </c>
      <c r="J70" s="6">
        <v>8529.4500000000007</v>
      </c>
    </row>
    <row r="71" spans="1:10" x14ac:dyDescent="0.25">
      <c r="A71" s="3" t="s">
        <v>79</v>
      </c>
      <c r="B71" s="4">
        <v>45782</v>
      </c>
      <c r="C71" s="3" t="s">
        <v>168</v>
      </c>
      <c r="D71" s="3" t="s">
        <v>190</v>
      </c>
      <c r="E71" s="3" t="s">
        <v>192</v>
      </c>
      <c r="F71" s="3" t="s">
        <v>200</v>
      </c>
      <c r="G71" s="3" t="s">
        <v>209</v>
      </c>
      <c r="H71" s="3">
        <v>3</v>
      </c>
      <c r="I71" s="3">
        <v>5601</v>
      </c>
      <c r="J71" s="6">
        <v>1075.46</v>
      </c>
    </row>
    <row r="72" spans="1:10" x14ac:dyDescent="0.25">
      <c r="A72" s="3" t="s">
        <v>80</v>
      </c>
      <c r="B72" s="4">
        <v>45783</v>
      </c>
      <c r="C72" s="3" t="s">
        <v>169</v>
      </c>
      <c r="D72" s="3" t="s">
        <v>189</v>
      </c>
      <c r="E72" s="3" t="s">
        <v>192</v>
      </c>
      <c r="F72" s="3" t="s">
        <v>197</v>
      </c>
      <c r="G72" s="3" t="s">
        <v>208</v>
      </c>
      <c r="H72" s="3">
        <v>5</v>
      </c>
      <c r="I72" s="3">
        <v>24070</v>
      </c>
      <c r="J72" s="6">
        <v>4392.21</v>
      </c>
    </row>
    <row r="73" spans="1:10" x14ac:dyDescent="0.25">
      <c r="A73" s="3" t="s">
        <v>81</v>
      </c>
      <c r="B73" s="4">
        <v>45709</v>
      </c>
      <c r="C73" s="3" t="s">
        <v>170</v>
      </c>
      <c r="D73" s="3" t="s">
        <v>190</v>
      </c>
      <c r="E73" s="3" t="s">
        <v>192</v>
      </c>
      <c r="F73" s="3" t="s">
        <v>199</v>
      </c>
      <c r="G73" s="3" t="s">
        <v>209</v>
      </c>
      <c r="H73" s="3">
        <v>7</v>
      </c>
      <c r="I73" s="3">
        <v>17934</v>
      </c>
      <c r="J73" s="6">
        <v>4692.07</v>
      </c>
    </row>
    <row r="74" spans="1:10" x14ac:dyDescent="0.25">
      <c r="A74" s="3" t="s">
        <v>82</v>
      </c>
      <c r="B74" s="4">
        <v>45666</v>
      </c>
      <c r="C74" s="3" t="s">
        <v>171</v>
      </c>
      <c r="D74" s="3" t="s">
        <v>190</v>
      </c>
      <c r="E74" s="3" t="s">
        <v>194</v>
      </c>
      <c r="F74" s="3" t="s">
        <v>203</v>
      </c>
      <c r="G74" s="3" t="s">
        <v>207</v>
      </c>
      <c r="H74" s="3">
        <v>10</v>
      </c>
      <c r="I74" s="3">
        <v>34130</v>
      </c>
      <c r="J74" s="6">
        <v>7450.87</v>
      </c>
    </row>
    <row r="75" spans="1:10" x14ac:dyDescent="0.25">
      <c r="A75" s="3" t="s">
        <v>83</v>
      </c>
      <c r="B75" s="4">
        <v>45813</v>
      </c>
      <c r="C75" s="3" t="s">
        <v>148</v>
      </c>
      <c r="D75" s="3" t="s">
        <v>190</v>
      </c>
      <c r="E75" s="3" t="s">
        <v>193</v>
      </c>
      <c r="F75" s="3" t="s">
        <v>197</v>
      </c>
      <c r="G75" s="3" t="s">
        <v>208</v>
      </c>
      <c r="H75" s="3">
        <v>5</v>
      </c>
      <c r="I75" s="3">
        <v>22185</v>
      </c>
      <c r="J75" s="6">
        <v>2877.46</v>
      </c>
    </row>
    <row r="76" spans="1:10" x14ac:dyDescent="0.25">
      <c r="A76" s="3" t="s">
        <v>84</v>
      </c>
      <c r="B76" s="4">
        <v>45834</v>
      </c>
      <c r="C76" s="3" t="s">
        <v>172</v>
      </c>
      <c r="D76" s="3" t="s">
        <v>190</v>
      </c>
      <c r="E76" s="3" t="s">
        <v>191</v>
      </c>
      <c r="F76" s="3" t="s">
        <v>195</v>
      </c>
      <c r="G76" s="3" t="s">
        <v>207</v>
      </c>
      <c r="H76" s="3">
        <v>2</v>
      </c>
      <c r="I76" s="3">
        <v>4498</v>
      </c>
      <c r="J76" s="6">
        <v>471.64</v>
      </c>
    </row>
    <row r="77" spans="1:10" x14ac:dyDescent="0.25">
      <c r="A77" s="3" t="s">
        <v>85</v>
      </c>
      <c r="B77" s="4">
        <v>45767</v>
      </c>
      <c r="C77" s="3" t="s">
        <v>173</v>
      </c>
      <c r="D77" s="3" t="s">
        <v>189</v>
      </c>
      <c r="E77" s="3" t="s">
        <v>192</v>
      </c>
      <c r="F77" s="3" t="s">
        <v>204</v>
      </c>
      <c r="G77" s="3" t="s">
        <v>208</v>
      </c>
      <c r="H77" s="3">
        <v>10</v>
      </c>
      <c r="I77" s="3">
        <v>23570</v>
      </c>
      <c r="J77" s="6">
        <v>2521.27</v>
      </c>
    </row>
    <row r="78" spans="1:10" x14ac:dyDescent="0.25">
      <c r="A78" s="3" t="s">
        <v>86</v>
      </c>
      <c r="B78" s="4">
        <v>45691</v>
      </c>
      <c r="C78" s="3" t="s">
        <v>174</v>
      </c>
      <c r="D78" s="3" t="s">
        <v>189</v>
      </c>
      <c r="E78" s="3" t="s">
        <v>192</v>
      </c>
      <c r="F78" s="3" t="s">
        <v>203</v>
      </c>
      <c r="G78" s="3" t="s">
        <v>207</v>
      </c>
      <c r="H78" s="3">
        <v>9</v>
      </c>
      <c r="I78" s="3">
        <v>9153</v>
      </c>
      <c r="J78" s="6">
        <v>1293.9100000000001</v>
      </c>
    </row>
    <row r="79" spans="1:10" x14ac:dyDescent="0.25">
      <c r="A79" s="3" t="s">
        <v>87</v>
      </c>
      <c r="B79" s="4">
        <v>45766</v>
      </c>
      <c r="C79" s="3" t="s">
        <v>175</v>
      </c>
      <c r="D79" s="3" t="s">
        <v>190</v>
      </c>
      <c r="E79" s="3" t="s">
        <v>193</v>
      </c>
      <c r="F79" s="3" t="s">
        <v>206</v>
      </c>
      <c r="G79" s="3" t="s">
        <v>209</v>
      </c>
      <c r="H79" s="3">
        <v>6</v>
      </c>
      <c r="I79" s="3">
        <v>9684</v>
      </c>
      <c r="J79" s="6">
        <v>1214.46</v>
      </c>
    </row>
    <row r="80" spans="1:10" x14ac:dyDescent="0.25">
      <c r="A80" s="3" t="s">
        <v>88</v>
      </c>
      <c r="B80" s="4">
        <v>45816</v>
      </c>
      <c r="C80" s="3" t="s">
        <v>150</v>
      </c>
      <c r="D80" s="3" t="s">
        <v>189</v>
      </c>
      <c r="E80" s="3" t="s">
        <v>194</v>
      </c>
      <c r="F80" s="3" t="s">
        <v>204</v>
      </c>
      <c r="G80" s="3" t="s">
        <v>208</v>
      </c>
      <c r="H80" s="3">
        <v>5</v>
      </c>
      <c r="I80" s="3">
        <v>7785</v>
      </c>
      <c r="J80" s="6">
        <v>858.23</v>
      </c>
    </row>
    <row r="81" spans="1:10" x14ac:dyDescent="0.25">
      <c r="A81" s="3" t="s">
        <v>89</v>
      </c>
      <c r="B81" s="4">
        <v>45697</v>
      </c>
      <c r="C81" s="3" t="s">
        <v>176</v>
      </c>
      <c r="D81" s="3" t="s">
        <v>190</v>
      </c>
      <c r="E81" s="3" t="s">
        <v>192</v>
      </c>
      <c r="F81" s="3" t="s">
        <v>195</v>
      </c>
      <c r="G81" s="3" t="s">
        <v>207</v>
      </c>
      <c r="H81" s="3">
        <v>8</v>
      </c>
      <c r="I81" s="3">
        <v>29024</v>
      </c>
      <c r="J81" s="6">
        <v>5717.43</v>
      </c>
    </row>
    <row r="82" spans="1:10" x14ac:dyDescent="0.25">
      <c r="A82" s="3" t="s">
        <v>90</v>
      </c>
      <c r="B82" s="4">
        <v>45690</v>
      </c>
      <c r="C82" s="3" t="s">
        <v>177</v>
      </c>
      <c r="D82" s="3" t="s">
        <v>189</v>
      </c>
      <c r="E82" s="3" t="s">
        <v>191</v>
      </c>
      <c r="F82" s="3" t="s">
        <v>205</v>
      </c>
      <c r="G82" s="3" t="s">
        <v>208</v>
      </c>
      <c r="H82" s="3">
        <v>3</v>
      </c>
      <c r="I82" s="3">
        <v>8604</v>
      </c>
      <c r="J82" s="6">
        <v>990.76</v>
      </c>
    </row>
    <row r="83" spans="1:10" x14ac:dyDescent="0.25">
      <c r="A83" s="3" t="s">
        <v>91</v>
      </c>
      <c r="B83" s="4">
        <v>45742</v>
      </c>
      <c r="C83" s="3" t="s">
        <v>178</v>
      </c>
      <c r="D83" s="3" t="s">
        <v>190</v>
      </c>
      <c r="E83" s="3" t="s">
        <v>192</v>
      </c>
      <c r="F83" s="3" t="s">
        <v>204</v>
      </c>
      <c r="G83" s="3" t="s">
        <v>208</v>
      </c>
      <c r="H83" s="3">
        <v>2</v>
      </c>
      <c r="I83" s="3">
        <v>8986</v>
      </c>
      <c r="J83" s="6">
        <v>909.42</v>
      </c>
    </row>
    <row r="84" spans="1:10" x14ac:dyDescent="0.25">
      <c r="A84" s="3" t="s">
        <v>92</v>
      </c>
      <c r="B84" s="4">
        <v>45729</v>
      </c>
      <c r="C84" s="3" t="s">
        <v>145</v>
      </c>
      <c r="D84" s="3" t="s">
        <v>189</v>
      </c>
      <c r="E84" s="3" t="s">
        <v>192</v>
      </c>
      <c r="F84" s="3" t="s">
        <v>201</v>
      </c>
      <c r="G84" s="3" t="s">
        <v>207</v>
      </c>
      <c r="H84" s="3">
        <v>10</v>
      </c>
      <c r="I84" s="3">
        <v>35880</v>
      </c>
      <c r="J84" s="6">
        <v>9666.24</v>
      </c>
    </row>
    <row r="85" spans="1:10" x14ac:dyDescent="0.25">
      <c r="A85" s="3" t="s">
        <v>93</v>
      </c>
      <c r="B85" s="4">
        <v>45805</v>
      </c>
      <c r="C85" s="3" t="s">
        <v>133</v>
      </c>
      <c r="D85" s="3" t="s">
        <v>190</v>
      </c>
      <c r="E85" s="3" t="s">
        <v>191</v>
      </c>
      <c r="F85" s="3" t="s">
        <v>195</v>
      </c>
      <c r="G85" s="3" t="s">
        <v>207</v>
      </c>
      <c r="H85" s="3">
        <v>8</v>
      </c>
      <c r="I85" s="3">
        <v>34344</v>
      </c>
      <c r="J85" s="6">
        <v>6633.84</v>
      </c>
    </row>
    <row r="86" spans="1:10" x14ac:dyDescent="0.25">
      <c r="A86" s="3" t="s">
        <v>94</v>
      </c>
      <c r="B86" s="4">
        <v>45791</v>
      </c>
      <c r="C86" s="3" t="s">
        <v>149</v>
      </c>
      <c r="D86" s="3" t="s">
        <v>189</v>
      </c>
      <c r="E86" s="3" t="s">
        <v>192</v>
      </c>
      <c r="F86" s="3" t="s">
        <v>203</v>
      </c>
      <c r="G86" s="3" t="s">
        <v>207</v>
      </c>
      <c r="H86" s="3">
        <v>1</v>
      </c>
      <c r="I86" s="3">
        <v>4253</v>
      </c>
      <c r="J86" s="6">
        <v>1077.1300000000001</v>
      </c>
    </row>
    <row r="87" spans="1:10" x14ac:dyDescent="0.25">
      <c r="A87" s="3" t="s">
        <v>95</v>
      </c>
      <c r="B87" s="4">
        <v>45811</v>
      </c>
      <c r="C87" s="3" t="s">
        <v>156</v>
      </c>
      <c r="D87" s="3" t="s">
        <v>190</v>
      </c>
      <c r="E87" s="3" t="s">
        <v>193</v>
      </c>
      <c r="F87" s="3" t="s">
        <v>200</v>
      </c>
      <c r="G87" s="3" t="s">
        <v>209</v>
      </c>
      <c r="H87" s="3">
        <v>7</v>
      </c>
      <c r="I87" s="3">
        <v>11858</v>
      </c>
      <c r="J87" s="6">
        <v>1925.78</v>
      </c>
    </row>
    <row r="88" spans="1:10" x14ac:dyDescent="0.25">
      <c r="A88" s="3" t="s">
        <v>96</v>
      </c>
      <c r="B88" s="4">
        <v>45735</v>
      </c>
      <c r="C88" s="3" t="s">
        <v>179</v>
      </c>
      <c r="D88" s="3" t="s">
        <v>189</v>
      </c>
      <c r="E88" s="3" t="s">
        <v>192</v>
      </c>
      <c r="F88" s="3" t="s">
        <v>206</v>
      </c>
      <c r="G88" s="3" t="s">
        <v>209</v>
      </c>
      <c r="H88" s="3">
        <v>5</v>
      </c>
      <c r="I88" s="3">
        <v>13080</v>
      </c>
      <c r="J88" s="6">
        <v>2154.5300000000002</v>
      </c>
    </row>
    <row r="89" spans="1:10" x14ac:dyDescent="0.25">
      <c r="A89" s="3" t="s">
        <v>97</v>
      </c>
      <c r="B89" s="4">
        <v>45775</v>
      </c>
      <c r="C89" s="3" t="s">
        <v>116</v>
      </c>
      <c r="D89" s="3" t="s">
        <v>189</v>
      </c>
      <c r="E89" s="3" t="s">
        <v>192</v>
      </c>
      <c r="F89" s="3" t="s">
        <v>200</v>
      </c>
      <c r="G89" s="3" t="s">
        <v>209</v>
      </c>
      <c r="H89" s="3">
        <v>8</v>
      </c>
      <c r="I89" s="3">
        <v>38064</v>
      </c>
      <c r="J89" s="6">
        <v>6910.19</v>
      </c>
    </row>
    <row r="90" spans="1:10" x14ac:dyDescent="0.25">
      <c r="A90" s="3" t="s">
        <v>98</v>
      </c>
      <c r="B90" s="4">
        <v>45664</v>
      </c>
      <c r="C90" s="3" t="s">
        <v>159</v>
      </c>
      <c r="D90" s="3" t="s">
        <v>189</v>
      </c>
      <c r="E90" s="3" t="s">
        <v>193</v>
      </c>
      <c r="F90" s="3" t="s">
        <v>202</v>
      </c>
      <c r="G90" s="3" t="s">
        <v>207</v>
      </c>
      <c r="H90" s="3">
        <v>4</v>
      </c>
      <c r="I90" s="3">
        <v>4732</v>
      </c>
      <c r="J90" s="6">
        <v>1253.02</v>
      </c>
    </row>
    <row r="91" spans="1:10" x14ac:dyDescent="0.25">
      <c r="A91" s="3" t="s">
        <v>99</v>
      </c>
      <c r="B91" s="4">
        <v>45781</v>
      </c>
      <c r="C91" s="3" t="s">
        <v>180</v>
      </c>
      <c r="D91" s="3" t="s">
        <v>189</v>
      </c>
      <c r="E91" s="3" t="s">
        <v>191</v>
      </c>
      <c r="F91" s="3" t="s">
        <v>203</v>
      </c>
      <c r="G91" s="3" t="s">
        <v>207</v>
      </c>
      <c r="H91" s="3">
        <v>10</v>
      </c>
      <c r="I91" s="3">
        <v>49000</v>
      </c>
      <c r="J91" s="6">
        <v>6717.03</v>
      </c>
    </row>
    <row r="92" spans="1:10" x14ac:dyDescent="0.25">
      <c r="A92" s="3" t="s">
        <v>100</v>
      </c>
      <c r="B92" s="4">
        <v>45776</v>
      </c>
      <c r="C92" s="3" t="s">
        <v>181</v>
      </c>
      <c r="D92" s="3" t="s">
        <v>189</v>
      </c>
      <c r="E92" s="3" t="s">
        <v>191</v>
      </c>
      <c r="F92" s="3" t="s">
        <v>203</v>
      </c>
      <c r="G92" s="3" t="s">
        <v>207</v>
      </c>
      <c r="H92" s="3">
        <v>7</v>
      </c>
      <c r="I92" s="3">
        <v>31647</v>
      </c>
      <c r="J92" s="6">
        <v>3873.92</v>
      </c>
    </row>
    <row r="93" spans="1:10" x14ac:dyDescent="0.25">
      <c r="A93" s="3" t="s">
        <v>101</v>
      </c>
      <c r="B93" s="4">
        <v>45832</v>
      </c>
      <c r="C93" s="3" t="s">
        <v>182</v>
      </c>
      <c r="D93" s="3" t="s">
        <v>190</v>
      </c>
      <c r="E93" s="3" t="s">
        <v>194</v>
      </c>
      <c r="F93" s="3" t="s">
        <v>195</v>
      </c>
      <c r="G93" s="3" t="s">
        <v>207</v>
      </c>
      <c r="H93" s="3">
        <v>1</v>
      </c>
      <c r="I93" s="3">
        <v>3665</v>
      </c>
      <c r="J93" s="6">
        <v>654.28</v>
      </c>
    </row>
    <row r="94" spans="1:10" x14ac:dyDescent="0.25">
      <c r="A94" s="3" t="s">
        <v>102</v>
      </c>
      <c r="B94" s="4">
        <v>45774</v>
      </c>
      <c r="C94" s="3" t="s">
        <v>183</v>
      </c>
      <c r="D94" s="3" t="s">
        <v>190</v>
      </c>
      <c r="E94" s="3" t="s">
        <v>191</v>
      </c>
      <c r="F94" s="3" t="s">
        <v>201</v>
      </c>
      <c r="G94" s="3" t="s">
        <v>207</v>
      </c>
      <c r="H94" s="3">
        <v>7</v>
      </c>
      <c r="I94" s="3">
        <v>10500</v>
      </c>
      <c r="J94" s="6">
        <v>2305.15</v>
      </c>
    </row>
    <row r="95" spans="1:10" x14ac:dyDescent="0.25">
      <c r="A95" s="3" t="s">
        <v>103</v>
      </c>
      <c r="B95" s="4">
        <v>45835</v>
      </c>
      <c r="C95" s="3" t="s">
        <v>184</v>
      </c>
      <c r="D95" s="3" t="s">
        <v>190</v>
      </c>
      <c r="E95" s="3" t="s">
        <v>191</v>
      </c>
      <c r="F95" s="3" t="s">
        <v>196</v>
      </c>
      <c r="G95" s="3" t="s">
        <v>208</v>
      </c>
      <c r="H95" s="3">
        <v>6</v>
      </c>
      <c r="I95" s="3">
        <v>25206</v>
      </c>
      <c r="J95" s="6">
        <v>6927.3</v>
      </c>
    </row>
    <row r="96" spans="1:10" x14ac:dyDescent="0.25">
      <c r="A96" s="3" t="s">
        <v>104</v>
      </c>
      <c r="B96" s="4">
        <v>45703</v>
      </c>
      <c r="C96" s="3" t="s">
        <v>185</v>
      </c>
      <c r="D96" s="3" t="s">
        <v>190</v>
      </c>
      <c r="E96" s="3" t="s">
        <v>193</v>
      </c>
      <c r="F96" s="3" t="s">
        <v>200</v>
      </c>
      <c r="G96" s="3" t="s">
        <v>209</v>
      </c>
      <c r="H96" s="3">
        <v>3</v>
      </c>
      <c r="I96" s="3">
        <v>5775</v>
      </c>
      <c r="J96" s="6">
        <v>1360.91</v>
      </c>
    </row>
    <row r="97" spans="1:10" x14ac:dyDescent="0.25">
      <c r="A97" s="3" t="s">
        <v>105</v>
      </c>
      <c r="B97" s="4">
        <v>45832</v>
      </c>
      <c r="C97" s="3" t="s">
        <v>158</v>
      </c>
      <c r="D97" s="3" t="s">
        <v>190</v>
      </c>
      <c r="E97" s="3" t="s">
        <v>194</v>
      </c>
      <c r="F97" s="3" t="s">
        <v>198</v>
      </c>
      <c r="G97" s="3" t="s">
        <v>209</v>
      </c>
      <c r="H97" s="3">
        <v>2</v>
      </c>
      <c r="I97" s="3">
        <v>3790</v>
      </c>
      <c r="J97" s="6">
        <v>452.1</v>
      </c>
    </row>
    <row r="98" spans="1:10" x14ac:dyDescent="0.25">
      <c r="A98" s="3" t="s">
        <v>106</v>
      </c>
      <c r="B98" s="4">
        <v>45833</v>
      </c>
      <c r="C98" s="3" t="s">
        <v>119</v>
      </c>
      <c r="D98" s="3" t="s">
        <v>189</v>
      </c>
      <c r="E98" s="3" t="s">
        <v>194</v>
      </c>
      <c r="F98" s="3" t="s">
        <v>199</v>
      </c>
      <c r="G98" s="3" t="s">
        <v>209</v>
      </c>
      <c r="H98" s="3">
        <v>8</v>
      </c>
      <c r="I98" s="3">
        <v>31064</v>
      </c>
      <c r="J98" s="6">
        <v>6098.39</v>
      </c>
    </row>
    <row r="99" spans="1:10" x14ac:dyDescent="0.25">
      <c r="A99" s="3" t="s">
        <v>107</v>
      </c>
      <c r="B99" s="4">
        <v>45700</v>
      </c>
      <c r="C99" s="3" t="s">
        <v>186</v>
      </c>
      <c r="D99" s="3" t="s">
        <v>190</v>
      </c>
      <c r="E99" s="3" t="s">
        <v>191</v>
      </c>
      <c r="F99" s="3" t="s">
        <v>195</v>
      </c>
      <c r="G99" s="3" t="s">
        <v>207</v>
      </c>
      <c r="H99" s="3">
        <v>3</v>
      </c>
      <c r="I99" s="3">
        <v>6744</v>
      </c>
      <c r="J99" s="6">
        <v>1600.43</v>
      </c>
    </row>
    <row r="100" spans="1:10" x14ac:dyDescent="0.25">
      <c r="A100" s="3" t="s">
        <v>108</v>
      </c>
      <c r="B100" s="4">
        <v>45826</v>
      </c>
      <c r="C100" s="3" t="s">
        <v>187</v>
      </c>
      <c r="D100" s="3" t="s">
        <v>189</v>
      </c>
      <c r="E100" s="3" t="s">
        <v>192</v>
      </c>
      <c r="F100" s="3" t="s">
        <v>203</v>
      </c>
      <c r="G100" s="3" t="s">
        <v>207</v>
      </c>
      <c r="H100" s="3">
        <v>6</v>
      </c>
      <c r="I100" s="3">
        <v>20910</v>
      </c>
      <c r="J100" s="6">
        <v>4704.67</v>
      </c>
    </row>
    <row r="101" spans="1:10" x14ac:dyDescent="0.25">
      <c r="A101" s="3" t="s">
        <v>109</v>
      </c>
      <c r="B101" s="4">
        <v>45769</v>
      </c>
      <c r="C101" s="3" t="s">
        <v>188</v>
      </c>
      <c r="D101" s="3" t="s">
        <v>190</v>
      </c>
      <c r="E101" s="3" t="s">
        <v>193</v>
      </c>
      <c r="F101" s="3" t="s">
        <v>204</v>
      </c>
      <c r="G101" s="3" t="s">
        <v>208</v>
      </c>
      <c r="H101" s="3">
        <v>10</v>
      </c>
      <c r="I101" s="3">
        <v>21320</v>
      </c>
      <c r="J101" s="6">
        <v>2148.62</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8CB5-C1FC-47B2-B076-A3657887FBDC}">
  <dimension ref="A1"/>
  <sheetViews>
    <sheetView showGridLines="0" tabSelected="1" zoomScale="80" zoomScaleNormal="80" workbookViewId="0">
      <selection activeCell="B3" sqref="B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Trend (Month-wise)</vt:lpstr>
      <vt:lpstr>Sales by Region</vt:lpstr>
      <vt:lpstr>Profit By Category</vt:lpstr>
      <vt:lpstr>Highest Revenue Generating Prod</vt:lpstr>
      <vt:lpstr>Sales by Gender</vt:lpstr>
      <vt:lpstr>Overall Data</vt:lpstr>
      <vt:lpstr>Revenue &amp; Product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Sheikh Huzaifa</dc:creator>
  <cp:lastModifiedBy>Sheikh Huzaifa</cp:lastModifiedBy>
  <dcterms:created xsi:type="dcterms:W3CDTF">2026-02-23T11:06:43Z</dcterms:created>
  <dcterms:modified xsi:type="dcterms:W3CDTF">2026-04-07T02:48:05Z</dcterms:modified>
</cp:coreProperties>
</file>